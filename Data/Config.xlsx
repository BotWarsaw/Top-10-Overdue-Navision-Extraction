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624"/>
  <workbookPr/>
  <mc:AlternateContent xmlns:mc="http://schemas.openxmlformats.org/markup-compatibility/2006">
    <mc:Choice Requires="x15">
      <x15ac:absPath xmlns:x15ac="http://schemas.microsoft.com/office/spreadsheetml/2010/11/ac" url="D:\Users\test.bot.warsaw\Documents\UiPath\Oerlikon Top 10 Overdue Navision Extraction\Data\"/>
    </mc:Choice>
  </mc:AlternateContent>
  <xr:revisionPtr revIDLastSave="0" documentId="13_ncr:1_{7EC97D0B-1218-4BB7-B2AE-A72EE092159E}" xr6:coauthVersionLast="45" xr6:coauthVersionMax="45" xr10:uidLastSave="{00000000-0000-0000-0000-000000000000}"/>
  <bookViews>
    <workbookView xWindow="585" yWindow="2610" windowWidth="9210" windowHeight="7530" activeTab="2" xr2:uid="{00000000-000D-0000-FFFF-FFFF00000000}"/>
  </bookViews>
  <sheets>
    <sheet name="Settings" sheetId="1" r:id="rId1"/>
    <sheet name="Constants" sheetId="2" r:id="rId2"/>
    <sheet name="CompaniesLoginData" sheetId="3" r:id="rId3"/>
    <sheet name="Sheet1" sheetId="7" r:id="rId4"/>
    <sheet name="ErrorList" sheetId="6" r:id="rId5"/>
    <sheet name="Temp"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 i="3" l="1"/>
  <c r="K2" i="3"/>
  <c r="K3" i="3"/>
  <c r="K5" i="3"/>
  <c r="K6" i="3"/>
  <c r="K7" i="3"/>
  <c r="K8" i="3"/>
  <c r="K9" i="3"/>
  <c r="K10" i="3"/>
  <c r="K11" i="3"/>
  <c r="K12" i="3"/>
  <c r="K13" i="3"/>
  <c r="K14" i="3"/>
  <c r="K15" i="3"/>
  <c r="K16" i="3"/>
  <c r="K17" i="3"/>
  <c r="K18" i="3"/>
  <c r="K19" i="3"/>
  <c r="K20" i="3"/>
</calcChain>
</file>

<file path=xl/sharedStrings.xml><?xml version="1.0" encoding="utf-8"?>
<sst xmlns="http://schemas.openxmlformats.org/spreadsheetml/2006/main" count="847" uniqueCount="421">
  <si>
    <t>Name</t>
  </si>
  <si>
    <t>Value</t>
  </si>
  <si>
    <t>Description</t>
  </si>
  <si>
    <t>logF_BusinessProcessName</t>
  </si>
  <si>
    <t>This is a logging field which allows you to group the log data of two or more subprocesses under the same business process name</t>
  </si>
  <si>
    <t>NoGRMessage</t>
  </si>
  <si>
    <t>Missing GR</t>
  </si>
  <si>
    <t>AllRemindersSentMessage</t>
  </si>
  <si>
    <t>ReminderSentMessage</t>
  </si>
  <si>
    <t>Message put in the description if reminder has been sent at least once. 
{count} will be replaced with number of sent reminders
{email} will be replaced with reminder recipient email
Example: {count} reminder(s) sent to {email}</t>
  </si>
  <si>
    <t>GenericErrorMessage</t>
  </si>
  <si>
    <t>No match found</t>
  </si>
  <si>
    <t>RemindersInterval</t>
  </si>
  <si>
    <t>Number of days between consecutive reminders sent by robot</t>
  </si>
  <si>
    <t>RemindersLimit</t>
  </si>
  <si>
    <t>MailDecisionMatrixPath</t>
  </si>
  <si>
    <t>NoGRSearchPhrase</t>
  </si>
  <si>
    <t>no open receipts</t>
  </si>
  <si>
    <t>Phrase used to search comments for missing GR message, must match only with missing GR error comment</t>
  </si>
  <si>
    <t>TimeoutShort</t>
  </si>
  <si>
    <t>Timeout short value in milliseconds, for activities which are likely to fail. Must be integer</t>
  </si>
  <si>
    <t>TimeoutMedium</t>
  </si>
  <si>
    <t>Timeout medium value in milliseconds. Must be integer</t>
  </si>
  <si>
    <t>TimeoutLong</t>
  </si>
  <si>
    <t>Timeout short value in milliseconds, for slow apps. Must be integer</t>
  </si>
  <si>
    <t>ExScreenshotsFolderPath</t>
  </si>
  <si>
    <t>Exceptions_Screenshots</t>
  </si>
  <si>
    <t>Where to save exceptions screenshots - can be a full or a relative path.</t>
  </si>
  <si>
    <t>DelayShort</t>
  </si>
  <si>
    <t>Delay short value in milliseconds, for activities where it is necessary to wait a little. Must be integer</t>
  </si>
  <si>
    <t>DelayMedium</t>
  </si>
  <si>
    <t>Delay medium value in milliseconds, for activities where it is necessary to wait a moderate amount of time. Must be integer</t>
  </si>
  <si>
    <t>DelayLong</t>
  </si>
  <si>
    <t>Delay long value in milliseconds, for activities where it is necessary to wait a long time. Must be integer</t>
  </si>
  <si>
    <t>Company Name</t>
  </si>
  <si>
    <t>Factory Code</t>
  </si>
  <si>
    <t>IsMultiCompany</t>
  </si>
  <si>
    <t>IsMultiFactory</t>
  </si>
  <si>
    <t>Path</t>
  </si>
  <si>
    <t>TemporaryExcelPath</t>
  </si>
  <si>
    <t>D:\Users\ex.krzysztof.szwed\Documents\UiPath\Test_AP_GR\Data\temp.xlsx</t>
  </si>
  <si>
    <t>EntityMaxRetryNumber</t>
  </si>
  <si>
    <t>ItemMaxRetryNumber</t>
  </si>
  <si>
    <t>Number of retries after encountering critical error on single Company process execution level</t>
  </si>
  <si>
    <t>Number of item retries after encountering critical error on single line item/document level</t>
  </si>
  <si>
    <t>FullMatchSearchPhrase</t>
  </si>
  <si>
    <t>ManualMatchSearchPhrase</t>
  </si>
  <si>
    <t>Manual match</t>
  </si>
  <si>
    <t>DocumentJournalRelativePath</t>
  </si>
  <si>
    <t>/Departments/Document Capture/Document/Document Journal</t>
  </si>
  <si>
    <t>PurchaseOrderRelativePath</t>
  </si>
  <si>
    <t>ContiniaUsersRelativePath</t>
  </si>
  <si>
    <t>/Departments/Document Capture/Purchase/Purchase Orders</t>
  </si>
  <si>
    <t>/Departments/Administration/Application Setup/Document Capture/Users and Approval/Continia Users</t>
  </si>
  <si>
    <t>relative path used to navigate to document journal. Should start with a slash symbol "/". Omits country name</t>
  </si>
  <si>
    <t>relative path used to navigate to purchase order list. Should start with a slash symbol "/". Omits country name</t>
  </si>
  <si>
    <t>relative path used to navigate to continia users. Should start with a slash symbol "/". Omits country name</t>
  </si>
  <si>
    <t>TemporaryPdfPath</t>
  </si>
  <si>
    <t>D:\Users\ex.krzysztof.szwed\Documents\UiPath\Test_AP_GR\Data\tempPDF.pdf</t>
  </si>
  <si>
    <t>AP Goods Receipt Reminders</t>
  </si>
  <si>
    <t>ReminderFailedMessage</t>
  </si>
  <si>
    <t>Sending reminder failed. Please handle manually.</t>
  </si>
  <si>
    <t>PurchasersRelativePath</t>
  </si>
  <si>
    <t>/Departments/Administration/Application Setup/Purchase/Purchasers</t>
  </si>
  <si>
    <t>DelayRecognizeField</t>
  </si>
  <si>
    <t>Delay after clicking recognize fields. In miliseconds</t>
  </si>
  <si>
    <t>Oerlikon Balzers Coating S.A.S</t>
  </si>
  <si>
    <t>C:\ProgramData\Microsoft\Windows\Start Menu\Dynamics NAV EMEA\BFR NST TEST.lnk</t>
  </si>
  <si>
    <t>FactoryChangeRelativePath</t>
  </si>
  <si>
    <t>/Departments/Weasy/Sales/Order Processing</t>
  </si>
  <si>
    <t>ConsecutiveItemsFailedLimit</t>
  </si>
  <si>
    <t>Number of consecutive items failed after which the bot will stop processing the entity</t>
  </si>
  <si>
    <t>ConsecutiveEntitiesFailedLimit</t>
  </si>
  <si>
    <t>Number of consecutive entities failed after which the bot will end the process</t>
  </si>
  <si>
    <t>Balzers Belgium</t>
  </si>
  <si>
    <t>STR</t>
  </si>
  <si>
    <t>C:\ProgramData\Microsoft\Windows\Start Menu\Dynamics NAV EMEA\BBE NST TEST.lnk</t>
  </si>
  <si>
    <t xml:space="preserve">Dear {Name},
You are receiving this mail because we have identified a missing GR for {PO} regarding {Invoice}. 
Please update the GR as soon as possible. When you have updated the GR, no further action is required.
Please feel free to contact the SSC AP team, if you have any questions or challenges regarding PO or Invoice.
Kind regards,
AP Team
(Message sent by bot)
 </t>
  </si>
  <si>
    <t>MissingContactMessage</t>
  </si>
  <si>
    <t>Missing GR - Contact information not found</t>
  </si>
  <si>
    <t>Fully matched</t>
  </si>
  <si>
    <t>{count} reminders sent to {email}</t>
  </si>
  <si>
    <t>Reminders limit reached.</t>
  </si>
  <si>
    <t>ReminderMailBody_1</t>
  </si>
  <si>
    <t>ReminderMailBody_2</t>
  </si>
  <si>
    <t>ReminderMailBody_3</t>
  </si>
  <si>
    <t xml:space="preserve">Dear {Name},
This is your second reminder regarding the missing GR for {PO} regarding {Invoice}. 
Please update the GR as soon as possible. When you have updated the GR, no further action is required.
Please feel free to contact the SSC AP team, if you have any questions or challenges regarding {PO} and {Invoice}.
Kind regards,
AP Team
 </t>
  </si>
  <si>
    <t xml:space="preserve">Dear {Name},
This is your third reminder regarding the missing GR for {PO} regarding {Invoice}. 
Please update the GR as soon as possible. When you have updated the GR, no further action is required.
Please feel free to contact the SSC AP team, if you have any questions or challenges regarding {PO} and {Invoice}.
Kind regards,
AP Team
 </t>
  </si>
  <si>
    <t>Reminder email body - 1st reminder.</t>
  </si>
  <si>
    <t>Reminder email body - 2st reminder.</t>
  </si>
  <si>
    <t>Reminder email body - 3st reminder.</t>
  </si>
  <si>
    <t>ReminderMailSubject_1</t>
  </si>
  <si>
    <t>ReminderMailSubject_2</t>
  </si>
  <si>
    <t>ReminderMailSubject_3</t>
  </si>
  <si>
    <t>Action required: Missing GR for {PO}</t>
  </si>
  <si>
    <t>Reminder email subject. {PO} will be replaced with PO number</t>
  </si>
  <si>
    <t>Action required (2nd reminder): Missing GR for {PO}</t>
  </si>
  <si>
    <t>Action required (3rd reminder): Missing GR for {PO}</t>
  </si>
  <si>
    <t>GlobalErrorReportDirectory</t>
  </si>
  <si>
    <t>Code</t>
  </si>
  <si>
    <t>Retry</t>
  </si>
  <si>
    <t>NotifyGlobalSupervisor</t>
  </si>
  <si>
    <t>NotifyEntitySupervisor</t>
  </si>
  <si>
    <t>000</t>
  </si>
  <si>
    <t>General Error</t>
  </si>
  <si>
    <t>100</t>
  </si>
  <si>
    <t>101</t>
  </si>
  <si>
    <t>200</t>
  </si>
  <si>
    <t>Nav Entity Shortcut missing</t>
  </si>
  <si>
    <t>Nav entity session limit</t>
  </si>
  <si>
    <t>Nav entity login failed</t>
  </si>
  <si>
    <t>Nav entity missing column</t>
  </si>
  <si>
    <t>Nav entity missing filter pane</t>
  </si>
  <si>
    <t>E-mail sending error</t>
  </si>
  <si>
    <t>Level</t>
  </si>
  <si>
    <t>Purchaser identifier not found</t>
  </si>
  <si>
    <t>Purchase Order no not found</t>
  </si>
  <si>
    <t>Missing pdf invoice</t>
  </si>
  <si>
    <t>Excel export error</t>
  </si>
  <si>
    <t>Nav entity document header not expanded</t>
  </si>
  <si>
    <t>Nav entity comments not expanded</t>
  </si>
  <si>
    <t>Missing e-mail decision matrix</t>
  </si>
  <si>
    <t>Missing execution report template</t>
  </si>
  <si>
    <t>Missing entity error report template</t>
  </si>
  <si>
    <t>Missing global error report template</t>
  </si>
  <si>
    <t>Nav incorrect factory code</t>
  </si>
  <si>
    <t>Nav incorrect company name</t>
  </si>
  <si>
    <t>110</t>
  </si>
  <si>
    <t>111</t>
  </si>
  <si>
    <t>201</t>
  </si>
  <si>
    <t>202</t>
  </si>
  <si>
    <t>203</t>
  </si>
  <si>
    <t>204</t>
  </si>
  <si>
    <t>205</t>
  </si>
  <si>
    <t>206</t>
  </si>
  <si>
    <t>207</t>
  </si>
  <si>
    <t>208</t>
  </si>
  <si>
    <t>209</t>
  </si>
  <si>
    <t>No PO-Purchaser match</t>
  </si>
  <si>
    <t>Missing purchaser e-mail</t>
  </si>
  <si>
    <t>301</t>
  </si>
  <si>
    <t>302</t>
  </si>
  <si>
    <t>303</t>
  </si>
  <si>
    <t>304</t>
  </si>
  <si>
    <t>305</t>
  </si>
  <si>
    <t>307</t>
  </si>
  <si>
    <t>300</t>
  </si>
  <si>
    <t>General item level error</t>
  </si>
  <si>
    <t>Global</t>
  </si>
  <si>
    <t>Entity</t>
  </si>
  <si>
    <t>FALSE</t>
  </si>
  <si>
    <t>TRUE</t>
  </si>
  <si>
    <t>EntityErrorReport</t>
  </si>
  <si>
    <t xml:space="preserve">FALSE </t>
  </si>
  <si>
    <t>FileImportStatusLoopTime</t>
  </si>
  <si>
    <t>Warning</t>
  </si>
  <si>
    <t>901</t>
  </si>
  <si>
    <t>Document Header size warning</t>
  </si>
  <si>
    <t>N/A</t>
  </si>
  <si>
    <t>Scope</t>
  </si>
  <si>
    <t>Item</t>
  </si>
  <si>
    <t>Type</t>
  </si>
  <si>
    <t>System</t>
  </si>
  <si>
    <t>Error</t>
  </si>
  <si>
    <t>Business</t>
  </si>
  <si>
    <t>Critical</t>
  </si>
  <si>
    <t>Configuration</t>
  </si>
  <si>
    <t>Info</t>
  </si>
  <si>
    <t>306</t>
  </si>
  <si>
    <t>Attaching pdf invoice failed</t>
  </si>
  <si>
    <t>Journal Edition - Document header size too small</t>
  </si>
  <si>
    <t>GlobalErrorReport</t>
  </si>
  <si>
    <t>Item processing failed</t>
  </si>
  <si>
    <t>E-mail sending failed due to pdf attachment error</t>
  </si>
  <si>
    <t>308</t>
  </si>
  <si>
    <t>Nav Entity processing failed</t>
  </si>
  <si>
    <t>Company processing failed - bot supervisor intervention required</t>
  </si>
  <si>
    <t>MailDecisionMatrixSheetName</t>
  </si>
  <si>
    <t>CompaniesLoginDataSheetName</t>
  </si>
  <si>
    <t>ErrorConfigSheetName</t>
  </si>
  <si>
    <t>CompaniesLoginData</t>
  </si>
  <si>
    <t>ErrorList</t>
  </si>
  <si>
    <t>Name of excel sheet with login data</t>
  </si>
  <si>
    <t>Name of excel sheet containing exceptions dictionary</t>
  </si>
  <si>
    <t>BotApprovalMatrix</t>
  </si>
  <si>
    <t>210</t>
  </si>
  <si>
    <t>Error management failed</t>
  </si>
  <si>
    <t>Processing  error failed</t>
  </si>
  <si>
    <t>GlobalErrorReportTemplate</t>
  </si>
  <si>
    <t>EntityErrorReportTemplate</t>
  </si>
  <si>
    <t>902</t>
  </si>
  <si>
    <t>903</t>
  </si>
  <si>
    <t>Starting Nav entity failed</t>
  </si>
  <si>
    <t>ExecutionReportDirectory</t>
  </si>
  <si>
    <t>ExecutionReportTemplatePath</t>
  </si>
  <si>
    <t>EntityNotifcationMailBody</t>
  </si>
  <si>
    <t xml:space="preserve">Hello.
You are receiving this mail because AP GR bot encountered issues during execution. Please check error report.
Kind regards,
AP Team
</t>
  </si>
  <si>
    <t>GlobalNotifcationMailBody</t>
  </si>
  <si>
    <t xml:space="preserve">Hello.
AP GR bot encountered an issue during execution. Please check error report.
AP GR bot
</t>
  </si>
  <si>
    <t>EntityNotifcationMailSubject</t>
  </si>
  <si>
    <t>GlobalNotifcationMailSubject</t>
  </si>
  <si>
    <t>AP GR bot encountered issues</t>
  </si>
  <si>
    <t>GlobalErrorReportSheetName</t>
  </si>
  <si>
    <t>Sheet1</t>
  </si>
  <si>
    <t>EntityErrorReportSheetName</t>
  </si>
  <si>
    <t>Leave empty if no template is used</t>
  </si>
  <si>
    <t>103</t>
  </si>
  <si>
    <t>104</t>
  </si>
  <si>
    <t>Missing input data</t>
  </si>
  <si>
    <t>Consecutive retries limit</t>
  </si>
  <si>
    <t>Entity processing finished due to exceeding 
consecutive failed retries or items limit</t>
  </si>
  <si>
    <t>105</t>
  </si>
  <si>
    <t>904</t>
  </si>
  <si>
    <t>ExecutionReportSheetName</t>
  </si>
  <si>
    <t>ExecutionReport</t>
  </si>
  <si>
    <t>905</t>
  </si>
  <si>
    <t>Adding execution report entry failed</t>
  </si>
  <si>
    <t>309</t>
  </si>
  <si>
    <t>Missing Cc matrix data for the factory</t>
  </si>
  <si>
    <t>No supervisor mail assigned to document's factory</t>
  </si>
  <si>
    <t>310</t>
  </si>
  <si>
    <t>Incorrect e-mail message configuration</t>
  </si>
  <si>
    <t>Missing mail template data in config file</t>
  </si>
  <si>
    <t>False</t>
  </si>
  <si>
    <t>TimeoutUltraShort</t>
  </si>
  <si>
    <t>Timeout ultrashort value in milliseconds, for activities which are likely to fail. Must be integer</t>
  </si>
  <si>
    <t>Purchase Order number not found</t>
  </si>
  <si>
    <t>/Departments/Weasy/Purchase/Subcontracting/SC Purchase Orders</t>
  </si>
  <si>
    <t>ScPurchaseOrderRelativePath</t>
  </si>
  <si>
    <t>SendLastReminderToEntitySupervisor</t>
  </si>
  <si>
    <t>Number of reminders bot should sent before passing item to accountant.</t>
  </si>
  <si>
    <t>112</t>
  </si>
  <si>
    <t>Missing Entity config data</t>
  </si>
  <si>
    <t>Missing company config data</t>
  </si>
  <si>
    <t>102</t>
  </si>
  <si>
    <t>106</t>
  </si>
  <si>
    <t>Loading Exception config data failed</t>
  </si>
  <si>
    <t>Entities login data loading exception</t>
  </si>
  <si>
    <t>Loading entities data failed</t>
  </si>
  <si>
    <t>Missing Reports directory configuration</t>
  </si>
  <si>
    <t>TRUE (LOCKED)</t>
  </si>
  <si>
    <t>Exception Config loading error</t>
  </si>
  <si>
    <t>Incorrect environment variable - config path</t>
  </si>
  <si>
    <t>906</t>
  </si>
  <si>
    <t>Incorrect environment variable - supervisor mail</t>
  </si>
  <si>
    <t>Incorrect environment variable - BOT_AP_GR_mail</t>
  </si>
  <si>
    <t>Config file loading exception</t>
  </si>
  <si>
    <t xml:space="preserve">Unidentified system exception. </t>
  </si>
  <si>
    <t>SupervisorMail</t>
  </si>
  <si>
    <t>maciej.zdunek@oerlikon.com</t>
  </si>
  <si>
    <t>This is an email address to which bot sends notifications. If left empty then environment variable value is used.</t>
  </si>
  <si>
    <t>First part of navision document description set if there is no GR in the system</t>
  </si>
  <si>
    <t>Bot Supervisor Message</t>
  </si>
  <si>
    <t>Message</t>
  </si>
  <si>
    <t>D:\Users\ex.krzysztof.szwed\Documents\UiPath\Test_AP_GR\Data\Reports\Report_Template.xlsx</t>
  </si>
  <si>
    <t>907</t>
  </si>
  <si>
    <t>Missing bot supervisor mail config</t>
  </si>
  <si>
    <t>Environment variable and config file for supervisor mail are not set</t>
  </si>
  <si>
    <t>908</t>
  </si>
  <si>
    <t>No bot supervisor mail data</t>
  </si>
  <si>
    <t>config file for supervisor mail is not set</t>
  </si>
  <si>
    <t>311</t>
  </si>
  <si>
    <t>Reminder sent description exception</t>
  </si>
  <si>
    <t>Bot encountered error while setting Missing GR description</t>
  </si>
  <si>
    <t>Bot failed to update "Missing GR" description</t>
  </si>
  <si>
    <t>C:\ProgramData\Microsoft\Windows\Start Menu\Dynamics NAV EMEA\BFR NST.lnk</t>
  </si>
  <si>
    <t>FET</t>
  </si>
  <si>
    <t>D:\Users\ex.krzysztof.szwed\Documents\Bots data\AP GR\Reports\</t>
  </si>
  <si>
    <t>D:\Users\ex.krzysztof.szwed\Documents\UiPath\KPMG AP Goods Receipt Notification\Data\Email Decision Matrix TEST.xlsx</t>
  </si>
  <si>
    <t>Balzers GmbH</t>
  </si>
  <si>
    <t>KAP</t>
  </si>
  <si>
    <t>Oerlikon Balzers CZ</t>
  </si>
  <si>
    <t>JLA</t>
  </si>
  <si>
    <t>Oerlikon Balzers RO</t>
  </si>
  <si>
    <t>PIT</t>
  </si>
  <si>
    <t>Balzers Szekesfehervar</t>
  </si>
  <si>
    <t>SKF</t>
  </si>
  <si>
    <t>Oerlikon Balzers BFL</t>
  </si>
  <si>
    <t>BAL</t>
  </si>
  <si>
    <t>Oerlikon Balzers BCH</t>
  </si>
  <si>
    <t>BRG</t>
  </si>
  <si>
    <t>BPT</t>
  </si>
  <si>
    <t>ACB</t>
  </si>
  <si>
    <t>Balzers Nederland</t>
  </si>
  <si>
    <t>TIE</t>
  </si>
  <si>
    <t>Balzers Luxembourg</t>
  </si>
  <si>
    <t>NIE</t>
  </si>
  <si>
    <t>BUK-Weasy-live</t>
  </si>
  <si>
    <t>MIK</t>
  </si>
  <si>
    <t>BDE Balzers</t>
  </si>
  <si>
    <t>BGL</t>
  </si>
  <si>
    <t>OERLIKON BALZERS</t>
  </si>
  <si>
    <t>BGT</t>
  </si>
  <si>
    <t>Balzers Sandvik Coating AB</t>
  </si>
  <si>
    <t>HSS</t>
  </si>
  <si>
    <t>Oerlikon Balzers Sandvik FI</t>
  </si>
  <si>
    <t>PIK</t>
  </si>
  <si>
    <t>Balzers Sp. z o.o.</t>
  </si>
  <si>
    <t>PKW</t>
  </si>
  <si>
    <t>Oerlikon Balzers Slovakia</t>
  </si>
  <si>
    <t>VEL</t>
  </si>
  <si>
    <t>BES</t>
  </si>
  <si>
    <t>ANZ</t>
  </si>
  <si>
    <t>C:\ProgramData\Microsoft\Windows\Start Menu\Dynamics NAV EMEA\BAT NST.lnk</t>
  </si>
  <si>
    <t>C:\ProgramData\Microsoft\Windows\Start Menu\Dynamics NAV EMEA\BBE NST.lnk</t>
  </si>
  <si>
    <t>C:\ProgramData\Microsoft\Windows\Start Menu\Dynamics NAV EMEA\BCZ NST.lnk</t>
  </si>
  <si>
    <t>C:\ProgramData\Microsoft\Windows\Start Menu\Dynamics NAV EMEA\BDE NST.lnk</t>
  </si>
  <si>
    <t>C:\ProgramData\Microsoft\Windows\Start Menu\Dynamics NAV EMEA\BES NST.lnk</t>
  </si>
  <si>
    <t>C:\ProgramData\Microsoft\Windows\Start Menu\Dynamics NAV EMEA\BFL NST.lnk</t>
  </si>
  <si>
    <t>C:\ProgramData\Microsoft\Windows\Start Menu\Dynamics NAV EMEA\BHU NST.lnk</t>
  </si>
  <si>
    <t>C:\ProgramData\Microsoft\Windows\Start Menu\Dynamics NAV EMEA\BIT NST.lnk</t>
  </si>
  <si>
    <t>C:\ProgramData\Microsoft\Windows\Start Menu\Dynamics NAV EMEA\BPL NST.lnk</t>
  </si>
  <si>
    <t>C:\ProgramData\Microsoft\Windows\Start Menu\Dynamics NAV EMEA\BPT NST.lnk</t>
  </si>
  <si>
    <t>C:\ProgramData\Microsoft\Windows\Start Menu\Dynamics NAV EMEA\BRO NST.lnk</t>
  </si>
  <si>
    <t>C:\ProgramData\Microsoft\Windows\Start Menu\Dynamics NAV EMEA\BSE NST.lnk</t>
  </si>
  <si>
    <t>C:\ProgramData\Microsoft\Windows\Start Menu\Dynamics NAV EMEA\BSK NST.lnk</t>
  </si>
  <si>
    <t>C:\ProgramData\Microsoft\Windows\Start Menu\Dynamics NAV EMEA\BUK NST.lnk</t>
  </si>
  <si>
    <t>IC Code</t>
  </si>
  <si>
    <t>Data Range Entry No</t>
  </si>
  <si>
    <t>Customer Posting Group</t>
  </si>
  <si>
    <t>BAT</t>
  </si>
  <si>
    <t>BBE</t>
  </si>
  <si>
    <t>BCZ</t>
  </si>
  <si>
    <t>BDE</t>
  </si>
  <si>
    <t>BFL</t>
  </si>
  <si>
    <t>BFR</t>
  </si>
  <si>
    <t>BHU</t>
  </si>
  <si>
    <t>BIT</t>
  </si>
  <si>
    <t>BPL</t>
  </si>
  <si>
    <t>BRO</t>
  </si>
  <si>
    <t>BSE</t>
  </si>
  <si>
    <t>BSK</t>
  </si>
  <si>
    <t>BUK</t>
  </si>
  <si>
    <r>
      <t xml:space="preserve">Select BU/BL </t>
    </r>
    <r>
      <rPr>
        <sz val="8"/>
        <color indexed="8"/>
        <rFont val="Calibri"/>
        <family val="2"/>
      </rPr>
      <t>(from dropdown list):</t>
    </r>
  </si>
  <si>
    <r>
      <t>Select Entity (from dropdown list)</t>
    </r>
    <r>
      <rPr>
        <sz val="8"/>
        <color indexed="8"/>
        <rFont val="Calibri"/>
        <family val="2"/>
      </rPr>
      <t>:</t>
    </r>
  </si>
  <si>
    <t>BL03 - TF Equipment</t>
  </si>
  <si>
    <t>AT278</t>
  </si>
  <si>
    <t>BL04 - TF After Sales</t>
  </si>
  <si>
    <t>AU289</t>
  </si>
  <si>
    <t>BL05 - Materials</t>
  </si>
  <si>
    <t>BE228</t>
  </si>
  <si>
    <t>BL06 - Equipment</t>
  </si>
  <si>
    <t>BR257</t>
  </si>
  <si>
    <t>BL07 - Thermal Spray Services</t>
  </si>
  <si>
    <t>BR272</t>
  </si>
  <si>
    <t>BL08 - Friction Systems</t>
  </si>
  <si>
    <t>CA268</t>
  </si>
  <si>
    <t>BL09 - Eldim</t>
  </si>
  <si>
    <t>CH222</t>
  </si>
  <si>
    <t>BL10 - TF Automotive</t>
  </si>
  <si>
    <t>CH225</t>
  </si>
  <si>
    <t>BL11 - TF Precision Components</t>
  </si>
  <si>
    <t>CH226</t>
  </si>
  <si>
    <t>BL12 - Additive Manufacturing Materials</t>
  </si>
  <si>
    <t>CH242</t>
  </si>
  <si>
    <t>BL13 - Additive Manufacturing Services</t>
  </si>
  <si>
    <t>CN270</t>
  </si>
  <si>
    <t>BL16 - EPD</t>
  </si>
  <si>
    <t>CN287</t>
  </si>
  <si>
    <t>BL18 - Cutting Tools</t>
  </si>
  <si>
    <t>CN288</t>
  </si>
  <si>
    <t>BL19 - Forming Tools</t>
  </si>
  <si>
    <t>DE210</t>
  </si>
  <si>
    <t>DE233</t>
  </si>
  <si>
    <t>DE243</t>
  </si>
  <si>
    <t>DE251</t>
  </si>
  <si>
    <t>DE273</t>
  </si>
  <si>
    <t>DE274</t>
  </si>
  <si>
    <t>DE275</t>
  </si>
  <si>
    <t>DE276</t>
  </si>
  <si>
    <t>DE277</t>
  </si>
  <si>
    <t>DE295</t>
  </si>
  <si>
    <t>DE297</t>
  </si>
  <si>
    <t>DE298</t>
  </si>
  <si>
    <t>ES280</t>
  </si>
  <si>
    <t>FI209</t>
  </si>
  <si>
    <t>FR218</t>
  </si>
  <si>
    <t>FR219</t>
  </si>
  <si>
    <t>GB212</t>
  </si>
  <si>
    <t>GB213</t>
  </si>
  <si>
    <t>GB262</t>
  </si>
  <si>
    <t>GB263</t>
  </si>
  <si>
    <t>HU215</t>
  </si>
  <si>
    <t>IN240</t>
  </si>
  <si>
    <t>IN255</t>
  </si>
  <si>
    <t>IT234</t>
  </si>
  <si>
    <t>IT252</t>
  </si>
  <si>
    <t>JP230</t>
  </si>
  <si>
    <t>JP284</t>
  </si>
  <si>
    <t>KR244</t>
  </si>
  <si>
    <t>LI204</t>
  </si>
  <si>
    <t>LI205</t>
  </si>
  <si>
    <t>LI206</t>
  </si>
  <si>
    <t>LI207</t>
  </si>
  <si>
    <t>LU291</t>
  </si>
  <si>
    <t>MX290</t>
  </si>
  <si>
    <t>MY260</t>
  </si>
  <si>
    <t>NL214</t>
  </si>
  <si>
    <t>PH224</t>
  </si>
  <si>
    <t>PL282</t>
  </si>
  <si>
    <t>RU235</t>
  </si>
  <si>
    <t>RU271</t>
  </si>
  <si>
    <t>SE220</t>
  </si>
  <si>
    <t>SE236</t>
  </si>
  <si>
    <t>SG285</t>
  </si>
  <si>
    <t>SG292</t>
  </si>
  <si>
    <t>SK294</t>
  </si>
  <si>
    <t>TH250</t>
  </si>
  <si>
    <t>TR293</t>
  </si>
  <si>
    <t>US231</t>
  </si>
  <si>
    <t>US246</t>
  </si>
  <si>
    <t>US253</t>
  </si>
  <si>
    <t>US269</t>
  </si>
  <si>
    <t>US296</t>
  </si>
  <si>
    <t>US299</t>
  </si>
  <si>
    <t>Entity ID</t>
  </si>
  <si>
    <t>DE233a</t>
  </si>
  <si>
    <t>PT280</t>
  </si>
  <si>
    <t>XXX</t>
  </si>
  <si>
    <t>Report Nav</t>
  </si>
  <si>
    <t>Final Report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</si>
</sst>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b/>
      <sz val="14"/>
      <color rgb="FF000000"/>
      <name val="Calibri"/>
    </font>
    <font>
      <b/>
      <sz val="11"/>
      <color theme="1"/>
      <name val="Calibri"/>
      <family val="2"/>
      <scheme val="minor"/>
    </font>
    <font>
      <sz val="8"/>
      <name val="Calibri"/>
      <family val="2"/>
      <scheme val="minor"/>
    </font>
    <font>
      <sz val="10"/>
      <color rgb="FF9C5700"/>
      <name val="Arial"/>
      <family val="2"/>
    </font>
    <font>
      <sz val="10"/>
      <color rgb="FF006100"/>
      <name val="Arial"/>
      <family val="2"/>
    </font>
    <font>
      <i/>
      <sz val="10"/>
      <color rgb="FF7F7F7F"/>
      <name val="Arial"/>
      <family val="2"/>
    </font>
    <font>
      <sz val="10"/>
      <color indexed="8"/>
      <name val="Arial"/>
      <family val="2"/>
    </font>
    <font>
      <sz val="10"/>
      <name val="Arial"/>
      <family val="2"/>
    </font>
    <font>
      <sz val="8"/>
      <color indexed="8"/>
      <name val="Calibri"/>
      <family val="2"/>
    </font>
  </fonts>
  <fills count="9">
    <fill>
      <patternFill patternType="none"/>
    </fill>
    <fill>
      <patternFill patternType="gray125"/>
    </fill>
    <fill>
      <patternFill patternType="solid">
        <fgColor rgb="FFFFEB9C"/>
      </patternFill>
    </fill>
    <fill>
      <patternFill patternType="solid">
        <fgColor rgb="FFC6EFCE"/>
      </patternFill>
    </fill>
    <fill>
      <patternFill patternType="solid">
        <fgColor theme="6"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FF"/>
        <bgColor indexed="64"/>
      </patternFill>
    </fill>
  </fills>
  <borders count="2">
    <border>
      <left/>
      <right/>
      <top/>
      <bottom/>
      <diagonal/>
    </border>
    <border>
      <left style="thin">
        <color auto="1"/>
      </left>
      <right/>
      <top/>
      <bottom/>
      <diagonal/>
    </border>
  </borders>
  <cellStyleXfs count="5">
    <xf numFmtId="0" fontId="0" fillId="0" borderId="0"/>
    <xf numFmtId="0" fontId="1"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0" borderId="0" applyNumberFormat="0" applyFill="0" applyBorder="0" applyAlignment="0" applyProtection="0"/>
  </cellStyleXfs>
  <cellXfs count="25">
    <xf numFmtId="0" fontId="0" fillId="0" borderId="0" xfId="0"/>
    <xf numFmtId="0" fontId="2" fillId="0" borderId="0" xfId="0" applyFont="1"/>
    <xf numFmtId="0" fontId="0" fillId="0" borderId="0" xfId="0" applyAlignment="1">
      <alignment wrapText="1"/>
    </xf>
    <xf numFmtId="0" fontId="3" fillId="0" borderId="0" xfId="0" applyFont="1"/>
    <xf numFmtId="49" fontId="0" fillId="0" borderId="0" xfId="0" applyNumberFormat="1"/>
    <xf numFmtId="49" fontId="3" fillId="0" borderId="0" xfId="0" applyNumberFormat="1" applyFont="1"/>
    <xf numFmtId="49" fontId="0" fillId="0" borderId="0" xfId="0" applyNumberFormat="1" applyAlignment="1"/>
    <xf numFmtId="0" fontId="1" fillId="0" borderId="0" xfId="1"/>
    <xf numFmtId="49" fontId="0" fillId="0" borderId="0" xfId="0" applyNumberFormat="1" applyAlignment="1">
      <alignment wrapText="1"/>
    </xf>
    <xf numFmtId="49" fontId="5" fillId="2" borderId="0" xfId="2" applyNumberFormat="1"/>
    <xf numFmtId="0" fontId="0" fillId="0" borderId="0" xfId="0" applyAlignment="1">
      <alignment horizontal="right"/>
    </xf>
    <xf numFmtId="0" fontId="2" fillId="0" borderId="0" xfId="0" applyFont="1" applyAlignment="1">
      <alignment horizontal="left"/>
    </xf>
    <xf numFmtId="49" fontId="6" fillId="3" borderId="0" xfId="3" applyNumberFormat="1"/>
    <xf numFmtId="0" fontId="7" fillId="0" borderId="0" xfId="4"/>
    <xf numFmtId="0" fontId="0" fillId="0" borderId="0" xfId="0" applyAlignment="1">
      <alignment horizontal="left"/>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xf numFmtId="0" fontId="0" fillId="0" borderId="0" xfId="0" applyFill="1"/>
    <xf numFmtId="0" fontId="8" fillId="8" borderId="0" xfId="0" applyNumberFormat="1" applyFont="1" applyFill="1" applyBorder="1" applyAlignment="1" applyProtection="1"/>
    <xf numFmtId="0" fontId="9" fillId="8" borderId="0" xfId="0" applyNumberFormat="1" applyFont="1" applyFill="1" applyBorder="1" applyAlignment="1" applyProtection="1">
      <alignment horizontal="center"/>
    </xf>
    <xf numFmtId="0" fontId="8" fillId="8" borderId="0" xfId="0" applyNumberFormat="1" applyFont="1" applyFill="1" applyBorder="1" applyAlignment="1" applyProtection="1">
      <alignment vertical="center"/>
    </xf>
    <xf numFmtId="0" fontId="9" fillId="8" borderId="0" xfId="0" applyNumberFormat="1" applyFont="1" applyFill="1" applyBorder="1" applyAlignment="1" applyProtection="1">
      <alignment horizontal="center" vertical="center"/>
    </xf>
    <xf numFmtId="0" fontId="9" fillId="8" borderId="1" xfId="0" applyNumberFormat="1" applyFont="1" applyFill="1" applyBorder="1" applyAlignment="1" applyProtection="1">
      <alignment horizontal="center"/>
    </xf>
  </cellXfs>
  <cellStyles count="5">
    <cellStyle name="Explanatory Text" xfId="4" builtinId="53"/>
    <cellStyle name="Good" xfId="3" builtinId="26"/>
    <cellStyle name="Hyperlink" xfId="1" builtinId="8"/>
    <cellStyle name="Neutral" xfId="2" builtinId="28"/>
    <cellStyle name="Normal" xfId="0" builtinId="0"/>
  </cellStyles>
  <dxfs count="64">
    <dxf>
      <fill>
        <patternFill>
          <bgColor theme="6" tint="0.79998168889431442"/>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ill>
        <patternFill>
          <bgColor theme="0" tint="-0.14996795556505021"/>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6" tint="0.79998168889431442"/>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6" tint="0.79998168889431442"/>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14996795556505021"/>
        </patternFill>
      </fill>
    </dxf>
    <dxf>
      <fill>
        <patternFill>
          <bgColor theme="6"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fill>
        <patternFill patternType="solid">
          <fgColor indexed="64"/>
          <bgColor theme="6" tint="0.79998168889431442"/>
        </patternFill>
      </fill>
      <alignment horizontal="center" vertical="center" textRotation="0" wrapText="0" indent="0" justifyLastLine="0" shrinkToFit="0" readingOrder="0"/>
    </dxf>
    <dxf>
      <fill>
        <patternFill patternType="solid">
          <fgColor indexed="64"/>
          <bgColor theme="6"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B5E16B-4D52-4181-B814-16B06A85AEF9}" name="Table1" displayName="Table1" ref="A1:L20" totalsRowShown="0" headerRowDxfId="63">
  <autoFilter ref="A1:L20" xr:uid="{4A095EFA-7FDA-47B8-AB18-6F248E6954DB}"/>
  <sortState xmlns:xlrd2="http://schemas.microsoft.com/office/spreadsheetml/2017/richdata2" ref="A2:E20">
    <sortCondition ref="E1:E20"/>
  </sortState>
  <tableColumns count="12">
    <tableColumn id="1" xr3:uid="{FF57F72F-542C-4DDD-A8D0-398E12A7A247}" name="Company Name"/>
    <tableColumn id="2" xr3:uid="{E59901FB-EE38-4821-88AE-F2D5F57D7CD9}" name="Factory Code"/>
    <tableColumn id="3" xr3:uid="{FCA09FC1-81EE-4778-996E-B1C78DF030A8}" name="IsMultiCompany"/>
    <tableColumn id="4" xr3:uid="{488E9BB2-2654-4899-8A7A-AD3019251104}" name="IsMultiFactory"/>
    <tableColumn id="5" xr3:uid="{55D95130-762F-4CBF-A5F7-EE55F6708B3D}" name="Path" dataDxfId="62"/>
    <tableColumn id="9" xr3:uid="{CA9D4E51-9774-45EF-8681-8EB0531F2CC9}" name="Entity" dataDxfId="61"/>
    <tableColumn id="6" xr3:uid="{F08DE413-B05E-4728-A434-DD6A8EDEF8E4}" name="IC Code"/>
    <tableColumn id="7" xr3:uid="{757D09E1-3D91-4C3E-A269-CE63FDBCAA01}" name="Entity ID" dataDxfId="60"/>
    <tableColumn id="8" xr3:uid="{543C64B5-6D65-4DF7-B553-F7F0B546FE00}" name="Report Nav"/>
    <tableColumn id="12" xr3:uid="{D7219F74-8D24-462B-88E7-E8F837773F5A}" name="Final Report Path"/>
    <tableColumn id="10" xr3:uid="{80A0E217-B0E5-4828-83CD-B86191339F19}" name="Data Range Entry No" dataDxfId="59">
      <calculatedColumnFormula>COUNTIF($G$2:G2,Table1[[#This Row],[IC Code]])</calculatedColumnFormula>
    </tableColumn>
    <tableColumn id="11" xr3:uid="{9C25C35B-1486-4340-8B92-6FF171E480B6}" name="Customer Posting Group"/>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aciej.zdunek@oerlikon.com"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opLeftCell="A10" workbookViewId="0">
      <selection activeCell="C28" sqref="C28"/>
    </sheetView>
  </sheetViews>
  <sheetFormatPr defaultColWidth="14.42578125" defaultRowHeight="15" x14ac:dyDescent="0.25"/>
  <cols>
    <col min="1" max="1" width="68" customWidth="1"/>
    <col min="2" max="2" width="80.85546875" customWidth="1"/>
    <col min="3" max="3" width="99.85546875" customWidth="1"/>
    <col min="4" max="26" width="8.7109375" customWidth="1"/>
  </cols>
  <sheetData>
    <row r="1" spans="1:26" ht="14.25" customHeight="1" x14ac:dyDescent="0.3">
      <c r="A1" s="1" t="s">
        <v>0</v>
      </c>
      <c r="B1" s="1" t="s">
        <v>1</v>
      </c>
      <c r="C1" s="1" t="s">
        <v>2</v>
      </c>
      <c r="D1" s="1"/>
      <c r="E1" s="1"/>
      <c r="F1" s="1"/>
      <c r="G1" s="1"/>
      <c r="H1" s="1"/>
      <c r="I1" s="1"/>
      <c r="J1" s="1"/>
      <c r="K1" s="1"/>
      <c r="L1" s="1"/>
      <c r="M1" s="1"/>
      <c r="N1" s="1"/>
      <c r="O1" s="1"/>
      <c r="P1" s="1"/>
      <c r="Q1" s="1"/>
      <c r="R1" s="1"/>
      <c r="S1" s="1"/>
      <c r="T1" s="1"/>
      <c r="U1" s="1"/>
      <c r="V1" s="1"/>
      <c r="W1" s="1"/>
      <c r="X1" s="1"/>
      <c r="Y1" s="1"/>
      <c r="Z1" s="1"/>
    </row>
    <row r="2" spans="1:26" ht="14.25" customHeight="1" x14ac:dyDescent="0.25">
      <c r="A2" t="s">
        <v>3</v>
      </c>
      <c r="B2" t="s">
        <v>59</v>
      </c>
      <c r="C2" t="s">
        <v>4</v>
      </c>
    </row>
    <row r="3" spans="1:26" x14ac:dyDescent="0.25">
      <c r="A3" t="s">
        <v>248</v>
      </c>
      <c r="B3" s="7" t="s">
        <v>249</v>
      </c>
      <c r="C3" t="s">
        <v>250</v>
      </c>
    </row>
    <row r="5" spans="1:26" ht="14.25" customHeight="1" x14ac:dyDescent="0.25">
      <c r="A5" t="s">
        <v>5</v>
      </c>
      <c r="B5" t="s">
        <v>6</v>
      </c>
      <c r="C5" t="s">
        <v>251</v>
      </c>
    </row>
    <row r="6" spans="1:26" x14ac:dyDescent="0.25">
      <c r="A6" t="s">
        <v>7</v>
      </c>
      <c r="B6" t="s">
        <v>82</v>
      </c>
    </row>
    <row r="7" spans="1:26" ht="60" x14ac:dyDescent="0.25">
      <c r="A7" t="s">
        <v>8</v>
      </c>
      <c r="B7" t="s">
        <v>81</v>
      </c>
      <c r="C7" s="2" t="s">
        <v>9</v>
      </c>
    </row>
    <row r="8" spans="1:26" ht="14.25" customHeight="1" x14ac:dyDescent="0.25">
      <c r="A8" t="s">
        <v>10</v>
      </c>
      <c r="B8" t="s">
        <v>11</v>
      </c>
    </row>
    <row r="9" spans="1:26" ht="14.25" customHeight="1" x14ac:dyDescent="0.25">
      <c r="A9" t="s">
        <v>60</v>
      </c>
      <c r="B9" t="s">
        <v>61</v>
      </c>
    </row>
    <row r="10" spans="1:26" ht="14.25" customHeight="1" x14ac:dyDescent="0.25">
      <c r="A10" t="s">
        <v>78</v>
      </c>
      <c r="B10" t="s">
        <v>79</v>
      </c>
    </row>
    <row r="11" spans="1:26" ht="14.25" customHeight="1" x14ac:dyDescent="0.25"/>
    <row r="12" spans="1:26" ht="14.25" customHeight="1" x14ac:dyDescent="0.25">
      <c r="A12" t="s">
        <v>16</v>
      </c>
      <c r="B12" t="s">
        <v>17</v>
      </c>
      <c r="C12" t="s">
        <v>18</v>
      </c>
    </row>
    <row r="13" spans="1:26" ht="14.25" customHeight="1" x14ac:dyDescent="0.25">
      <c r="A13" t="s">
        <v>45</v>
      </c>
      <c r="B13" t="s">
        <v>80</v>
      </c>
    </row>
    <row r="14" spans="1:26" ht="14.25" customHeight="1" x14ac:dyDescent="0.25">
      <c r="A14" t="s">
        <v>46</v>
      </c>
      <c r="B14" t="s">
        <v>47</v>
      </c>
    </row>
    <row r="15" spans="1:26" ht="14.25" customHeight="1" x14ac:dyDescent="0.25"/>
    <row r="16" spans="1:26" ht="14.25" customHeight="1" x14ac:dyDescent="0.25">
      <c r="A16" t="s">
        <v>12</v>
      </c>
      <c r="B16">
        <v>3</v>
      </c>
      <c r="C16" t="s">
        <v>13</v>
      </c>
    </row>
    <row r="17" spans="1:3" ht="14.25" customHeight="1" x14ac:dyDescent="0.25">
      <c r="A17" t="s">
        <v>14</v>
      </c>
      <c r="B17">
        <v>3</v>
      </c>
      <c r="C17" t="s">
        <v>230</v>
      </c>
    </row>
    <row r="18" spans="1:3" x14ac:dyDescent="0.25">
      <c r="A18" t="s">
        <v>229</v>
      </c>
      <c r="B18" s="10" t="b">
        <v>0</v>
      </c>
    </row>
    <row r="19" spans="1:3" ht="14.25" customHeight="1" x14ac:dyDescent="0.25"/>
    <row r="20" spans="1:3" ht="14.25" customHeight="1" x14ac:dyDescent="0.25">
      <c r="A20" t="s">
        <v>15</v>
      </c>
      <c r="B20" t="s">
        <v>268</v>
      </c>
    </row>
    <row r="21" spans="1:3" ht="14.25" customHeight="1" x14ac:dyDescent="0.25">
      <c r="A21" t="s">
        <v>177</v>
      </c>
      <c r="B21" t="s">
        <v>184</v>
      </c>
      <c r="C21" t="s">
        <v>182</v>
      </c>
    </row>
    <row r="22" spans="1:3" ht="14.25" customHeight="1" x14ac:dyDescent="0.25">
      <c r="A22" t="s">
        <v>178</v>
      </c>
      <c r="B22" t="s">
        <v>180</v>
      </c>
      <c r="C22" t="s">
        <v>183</v>
      </c>
    </row>
    <row r="23" spans="1:3" ht="14.25" customHeight="1" x14ac:dyDescent="0.25">
      <c r="A23" t="s">
        <v>179</v>
      </c>
      <c r="B23" t="s">
        <v>181</v>
      </c>
    </row>
    <row r="24" spans="1:3" ht="14.25" customHeight="1" x14ac:dyDescent="0.25"/>
    <row r="25" spans="1:3" ht="14.25" customHeight="1" x14ac:dyDescent="0.25"/>
    <row r="26" spans="1:3" ht="14.25" customHeight="1" x14ac:dyDescent="0.25">
      <c r="A26" t="s">
        <v>193</v>
      </c>
      <c r="B26" t="s">
        <v>267</v>
      </c>
    </row>
    <row r="27" spans="1:3" ht="14.25" customHeight="1" x14ac:dyDescent="0.25">
      <c r="A27" t="s">
        <v>194</v>
      </c>
      <c r="B27" t="s">
        <v>254</v>
      </c>
    </row>
    <row r="28" spans="1:3" ht="14.25" customHeight="1" x14ac:dyDescent="0.25">
      <c r="A28" t="s">
        <v>213</v>
      </c>
      <c r="B28" t="s">
        <v>214</v>
      </c>
    </row>
    <row r="29" spans="1:3" ht="14.25" customHeight="1" x14ac:dyDescent="0.25">
      <c r="A29" t="s">
        <v>98</v>
      </c>
      <c r="B29" t="s">
        <v>267</v>
      </c>
      <c r="C29" t="s">
        <v>205</v>
      </c>
    </row>
    <row r="30" spans="1:3" ht="14.25" customHeight="1" x14ac:dyDescent="0.25">
      <c r="A30" t="s">
        <v>188</v>
      </c>
      <c r="C30" t="s">
        <v>205</v>
      </c>
    </row>
    <row r="31" spans="1:3" ht="14.25" customHeight="1" x14ac:dyDescent="0.25">
      <c r="A31" t="s">
        <v>202</v>
      </c>
      <c r="B31" t="s">
        <v>203</v>
      </c>
    </row>
    <row r="32" spans="1:3" ht="14.25" customHeight="1" x14ac:dyDescent="0.25">
      <c r="A32" t="s">
        <v>189</v>
      </c>
      <c r="C32" t="s">
        <v>205</v>
      </c>
    </row>
    <row r="33" spans="1:3" ht="14.25" customHeight="1" x14ac:dyDescent="0.25">
      <c r="A33" t="s">
        <v>204</v>
      </c>
      <c r="B33" t="s">
        <v>203</v>
      </c>
    </row>
    <row r="34" spans="1:3" x14ac:dyDescent="0.25">
      <c r="C34" s="2" t="s">
        <v>88</v>
      </c>
    </row>
    <row r="35" spans="1:3" ht="14.25" customHeight="1" x14ac:dyDescent="0.25">
      <c r="A35" t="s">
        <v>83</v>
      </c>
      <c r="B35" s="2" t="s">
        <v>77</v>
      </c>
      <c r="C35" s="2" t="s">
        <v>89</v>
      </c>
    </row>
    <row r="36" spans="1:3" ht="14.25" customHeight="1" x14ac:dyDescent="0.25">
      <c r="A36" t="s">
        <v>84</v>
      </c>
      <c r="B36" s="2" t="s">
        <v>86</v>
      </c>
      <c r="C36" s="2" t="s">
        <v>90</v>
      </c>
    </row>
    <row r="37" spans="1:3" ht="14.25" customHeight="1" x14ac:dyDescent="0.25">
      <c r="A37" t="s">
        <v>85</v>
      </c>
      <c r="B37" s="2" t="s">
        <v>87</v>
      </c>
      <c r="C37" s="2"/>
    </row>
    <row r="38" spans="1:3" ht="14.25" customHeight="1" x14ac:dyDescent="0.25">
      <c r="B38" s="2"/>
      <c r="C38" s="2" t="s">
        <v>95</v>
      </c>
    </row>
    <row r="39" spans="1:3" ht="14.25" customHeight="1" x14ac:dyDescent="0.25">
      <c r="A39" t="s">
        <v>91</v>
      </c>
      <c r="B39" t="s">
        <v>94</v>
      </c>
      <c r="C39" s="2" t="s">
        <v>95</v>
      </c>
    </row>
    <row r="40" spans="1:3" ht="14.25" customHeight="1" x14ac:dyDescent="0.25">
      <c r="A40" t="s">
        <v>92</v>
      </c>
      <c r="B40" t="s">
        <v>96</v>
      </c>
      <c r="C40" s="2" t="s">
        <v>95</v>
      </c>
    </row>
    <row r="41" spans="1:3" ht="14.25" customHeight="1" x14ac:dyDescent="0.25">
      <c r="A41" t="s">
        <v>93</v>
      </c>
      <c r="B41" t="s">
        <v>97</v>
      </c>
    </row>
    <row r="42" spans="1:3" ht="14.25" customHeight="1" x14ac:dyDescent="0.25"/>
    <row r="43" spans="1:3" ht="14.25" customHeight="1" x14ac:dyDescent="0.25">
      <c r="A43" t="s">
        <v>195</v>
      </c>
      <c r="B43" s="2" t="s">
        <v>196</v>
      </c>
    </row>
    <row r="44" spans="1:3" ht="14.25" customHeight="1" x14ac:dyDescent="0.25">
      <c r="A44" t="s">
        <v>197</v>
      </c>
      <c r="B44" s="2" t="s">
        <v>198</v>
      </c>
    </row>
    <row r="45" spans="1:3" ht="14.25" customHeight="1" x14ac:dyDescent="0.25"/>
    <row r="46" spans="1:3" ht="14.25" customHeight="1" x14ac:dyDescent="0.25">
      <c r="A46" t="s">
        <v>199</v>
      </c>
      <c r="B46" t="s">
        <v>201</v>
      </c>
    </row>
    <row r="47" spans="1:3" ht="14.25" customHeight="1" x14ac:dyDescent="0.25">
      <c r="A47" t="s">
        <v>200</v>
      </c>
      <c r="B47" t="s">
        <v>201</v>
      </c>
    </row>
    <row r="48" spans="1: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hyperlinks>
    <hyperlink ref="B3" r:id="rId1" xr:uid="{44090AAA-4300-4BA1-A3F2-CECB8718FC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C7AC-52CB-404D-8B32-1ABB20A638C8}">
  <dimension ref="A1:Z1000"/>
  <sheetViews>
    <sheetView workbookViewId="0">
      <selection activeCell="B23" sqref="B23"/>
    </sheetView>
  </sheetViews>
  <sheetFormatPr defaultColWidth="14.42578125" defaultRowHeight="15" x14ac:dyDescent="0.25"/>
  <cols>
    <col min="1" max="1" width="53" customWidth="1"/>
    <col min="2" max="2" width="63.5703125" style="14" customWidth="1"/>
    <col min="3" max="3" width="89" customWidth="1"/>
    <col min="4" max="26" width="8.7109375" customWidth="1"/>
  </cols>
  <sheetData>
    <row r="1" spans="1:26" ht="14.25" customHeight="1" x14ac:dyDescent="0.3">
      <c r="A1" s="1" t="s">
        <v>0</v>
      </c>
      <c r="B1" s="11" t="s">
        <v>1</v>
      </c>
      <c r="C1" s="1" t="s">
        <v>2</v>
      </c>
      <c r="D1" s="1"/>
      <c r="E1" s="1"/>
      <c r="F1" s="1"/>
      <c r="G1" s="1"/>
      <c r="H1" s="1"/>
      <c r="I1" s="1"/>
      <c r="J1" s="1"/>
      <c r="K1" s="1"/>
      <c r="L1" s="1"/>
      <c r="M1" s="1"/>
      <c r="N1" s="1"/>
      <c r="O1" s="1"/>
      <c r="P1" s="1"/>
      <c r="Q1" s="1"/>
      <c r="R1" s="1"/>
      <c r="S1" s="1"/>
      <c r="T1" s="1"/>
      <c r="U1" s="1"/>
      <c r="V1" s="1"/>
      <c r="W1" s="1"/>
      <c r="X1" s="1"/>
      <c r="Y1" s="1"/>
      <c r="Z1" s="1"/>
    </row>
    <row r="2" spans="1:26" ht="14.25" customHeight="1" x14ac:dyDescent="0.25">
      <c r="A2" t="s">
        <v>42</v>
      </c>
      <c r="B2" s="14">
        <v>4</v>
      </c>
      <c r="C2" t="s">
        <v>44</v>
      </c>
    </row>
    <row r="3" spans="1:26" x14ac:dyDescent="0.25">
      <c r="A3" t="s">
        <v>70</v>
      </c>
      <c r="B3" s="14">
        <v>3</v>
      </c>
      <c r="C3" t="s">
        <v>71</v>
      </c>
    </row>
    <row r="4" spans="1:26" ht="14.25" customHeight="1" x14ac:dyDescent="0.25">
      <c r="A4" t="s">
        <v>41</v>
      </c>
      <c r="B4" s="14">
        <v>3</v>
      </c>
      <c r="C4" t="s">
        <v>43</v>
      </c>
    </row>
    <row r="5" spans="1:26" ht="14.25" customHeight="1" x14ac:dyDescent="0.25">
      <c r="A5" t="s">
        <v>72</v>
      </c>
      <c r="B5" s="14">
        <v>3</v>
      </c>
      <c r="C5" t="s">
        <v>73</v>
      </c>
    </row>
    <row r="6" spans="1:26" ht="14.25" customHeight="1" x14ac:dyDescent="0.25"/>
    <row r="7" spans="1:26" ht="14.25" customHeight="1" x14ac:dyDescent="0.25">
      <c r="A7" t="s">
        <v>154</v>
      </c>
      <c r="B7" s="14">
        <v>200</v>
      </c>
    </row>
    <row r="8" spans="1:26" ht="14.25" customHeight="1" x14ac:dyDescent="0.25"/>
    <row r="9" spans="1:26" ht="14.25" customHeight="1" x14ac:dyDescent="0.25">
      <c r="A9" t="s">
        <v>224</v>
      </c>
      <c r="B9" s="14">
        <v>500</v>
      </c>
      <c r="C9" t="s">
        <v>225</v>
      </c>
    </row>
    <row r="10" spans="1:26" ht="14.25" customHeight="1" x14ac:dyDescent="0.25">
      <c r="A10" t="s">
        <v>19</v>
      </c>
      <c r="B10" s="14">
        <v>1000</v>
      </c>
      <c r="C10" t="s">
        <v>20</v>
      </c>
    </row>
    <row r="11" spans="1:26" ht="14.25" customHeight="1" x14ac:dyDescent="0.25">
      <c r="A11" t="s">
        <v>21</v>
      </c>
      <c r="B11" s="14">
        <v>10000</v>
      </c>
      <c r="C11" t="s">
        <v>22</v>
      </c>
    </row>
    <row r="12" spans="1:26" ht="14.25" customHeight="1" x14ac:dyDescent="0.25">
      <c r="A12" t="s">
        <v>23</v>
      </c>
      <c r="B12" s="14">
        <v>30000</v>
      </c>
      <c r="C12" t="s">
        <v>24</v>
      </c>
    </row>
    <row r="13" spans="1:26" ht="14.25" customHeight="1" x14ac:dyDescent="0.25"/>
    <row r="14" spans="1:26" ht="14.25" customHeight="1" x14ac:dyDescent="0.25">
      <c r="A14" t="s">
        <v>25</v>
      </c>
      <c r="B14" s="14" t="s">
        <v>26</v>
      </c>
      <c r="C14" t="s">
        <v>27</v>
      </c>
    </row>
    <row r="15" spans="1:26" ht="14.25" customHeight="1" x14ac:dyDescent="0.25"/>
    <row r="16" spans="1:26" ht="14.25" customHeight="1" x14ac:dyDescent="0.25">
      <c r="A16" t="s">
        <v>64</v>
      </c>
      <c r="B16" s="14">
        <v>300</v>
      </c>
      <c r="C16" t="s">
        <v>65</v>
      </c>
    </row>
    <row r="17" spans="1:3" ht="14.25" customHeight="1" x14ac:dyDescent="0.25">
      <c r="A17" t="s">
        <v>28</v>
      </c>
      <c r="B17" s="14">
        <v>1000</v>
      </c>
      <c r="C17" t="s">
        <v>29</v>
      </c>
    </row>
    <row r="18" spans="1:3" ht="14.25" customHeight="1" x14ac:dyDescent="0.25">
      <c r="A18" t="s">
        <v>30</v>
      </c>
      <c r="B18" s="14">
        <v>15000</v>
      </c>
      <c r="C18" t="s">
        <v>31</v>
      </c>
    </row>
    <row r="19" spans="1:3" ht="14.25" customHeight="1" x14ac:dyDescent="0.25">
      <c r="A19" t="s">
        <v>32</v>
      </c>
      <c r="B19" s="14">
        <v>60000</v>
      </c>
      <c r="C19" t="s">
        <v>33</v>
      </c>
    </row>
    <row r="20" spans="1:3" ht="14.25" customHeight="1" x14ac:dyDescent="0.25"/>
    <row r="21" spans="1:3" ht="14.25" customHeight="1" x14ac:dyDescent="0.25"/>
    <row r="22" spans="1:3" ht="14.25" customHeight="1" x14ac:dyDescent="0.25"/>
    <row r="23" spans="1:3" ht="14.25" customHeight="1" x14ac:dyDescent="0.25">
      <c r="A23" t="s">
        <v>39</v>
      </c>
      <c r="B23" s="14" t="s">
        <v>40</v>
      </c>
    </row>
    <row r="24" spans="1:3" ht="14.25" customHeight="1" x14ac:dyDescent="0.25">
      <c r="A24" t="s">
        <v>57</v>
      </c>
      <c r="B24" s="14" t="s">
        <v>58</v>
      </c>
    </row>
    <row r="25" spans="1:3" ht="14.25" customHeight="1" x14ac:dyDescent="0.25"/>
    <row r="26" spans="1:3" ht="14.25" customHeight="1" x14ac:dyDescent="0.25">
      <c r="A26" t="s">
        <v>48</v>
      </c>
      <c r="B26" s="14" t="s">
        <v>49</v>
      </c>
      <c r="C26" t="s">
        <v>54</v>
      </c>
    </row>
    <row r="27" spans="1:3" ht="14.25" customHeight="1" x14ac:dyDescent="0.25">
      <c r="A27" t="s">
        <v>50</v>
      </c>
      <c r="B27" s="14" t="s">
        <v>52</v>
      </c>
      <c r="C27" t="s">
        <v>55</v>
      </c>
    </row>
    <row r="28" spans="1:3" ht="14.25" customHeight="1" x14ac:dyDescent="0.25">
      <c r="A28" t="s">
        <v>51</v>
      </c>
      <c r="B28" s="14" t="s">
        <v>53</v>
      </c>
      <c r="C28" t="s">
        <v>56</v>
      </c>
    </row>
    <row r="29" spans="1:3" ht="14.25" customHeight="1" x14ac:dyDescent="0.25">
      <c r="A29" t="s">
        <v>62</v>
      </c>
      <c r="B29" s="14" t="s">
        <v>63</v>
      </c>
    </row>
    <row r="30" spans="1:3" ht="14.25" customHeight="1" x14ac:dyDescent="0.25">
      <c r="A30" t="s">
        <v>228</v>
      </c>
      <c r="B30" s="14" t="s">
        <v>227</v>
      </c>
    </row>
    <row r="31" spans="1:3" ht="14.25" customHeight="1" x14ac:dyDescent="0.25">
      <c r="A31" t="s">
        <v>68</v>
      </c>
      <c r="B31" s="14" t="s">
        <v>69</v>
      </c>
    </row>
    <row r="32" spans="1:3"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0A77-920F-40C7-A37E-3E6C76CE2646}">
  <dimension ref="A1:L20"/>
  <sheetViews>
    <sheetView tabSelected="1" topLeftCell="F1" workbookViewId="0">
      <selection activeCell="I2" sqref="I2"/>
    </sheetView>
  </sheetViews>
  <sheetFormatPr defaultRowHeight="15" x14ac:dyDescent="0.25"/>
  <cols>
    <col min="1" max="1" width="30.7109375" customWidth="1"/>
    <col min="2" max="2" width="14.5703125" customWidth="1"/>
    <col min="3" max="4" width="21.7109375" customWidth="1"/>
    <col min="5" max="5" width="81.28515625" bestFit="1" customWidth="1"/>
    <col min="6" max="7" width="21.42578125" bestFit="1" customWidth="1"/>
    <col min="8" max="8" width="21.42578125" customWidth="1"/>
    <col min="9" max="9" width="41" bestFit="1" customWidth="1"/>
    <col min="10" max="10" width="41" customWidth="1"/>
    <col min="11" max="11" width="25.28515625" bestFit="1" customWidth="1"/>
  </cols>
  <sheetData>
    <row r="1" spans="1:12" s="3" customFormat="1" x14ac:dyDescent="0.25">
      <c r="A1" s="3" t="s">
        <v>34</v>
      </c>
      <c r="B1" s="3" t="s">
        <v>35</v>
      </c>
      <c r="C1" s="3" t="s">
        <v>36</v>
      </c>
      <c r="D1" s="3" t="s">
        <v>37</v>
      </c>
      <c r="E1" s="3" t="s">
        <v>38</v>
      </c>
      <c r="F1" s="3" t="s">
        <v>149</v>
      </c>
      <c r="G1" s="3" t="s">
        <v>317</v>
      </c>
      <c r="H1" s="3" t="s">
        <v>415</v>
      </c>
      <c r="I1" s="3" t="s">
        <v>419</v>
      </c>
      <c r="J1" s="3" t="s">
        <v>420</v>
      </c>
      <c r="K1" s="3" t="s">
        <v>318</v>
      </c>
      <c r="L1" s="3" t="s">
        <v>319</v>
      </c>
    </row>
    <row r="2" spans="1:12" x14ac:dyDescent="0.25">
      <c r="A2" s="19" t="s">
        <v>269</v>
      </c>
      <c r="B2" t="s">
        <v>270</v>
      </c>
      <c r="C2" t="b">
        <v>0</v>
      </c>
      <c r="D2" t="b">
        <v>1</v>
      </c>
      <c r="E2" s="15" t="s">
        <v>303</v>
      </c>
      <c r="F2" t="s">
        <v>320</v>
      </c>
      <c r="G2" t="s">
        <v>336</v>
      </c>
      <c r="K2">
        <f>COUNTIF($G$2:G2,Table1[[#This Row],[IC Code]])</f>
        <v>1</v>
      </c>
    </row>
    <row r="3" spans="1:12" x14ac:dyDescent="0.25">
      <c r="A3" t="s">
        <v>285</v>
      </c>
      <c r="B3" t="s">
        <v>286</v>
      </c>
      <c r="C3" t="b">
        <v>1</v>
      </c>
      <c r="D3" t="b">
        <v>0</v>
      </c>
      <c r="E3" s="16" t="s">
        <v>304</v>
      </c>
      <c r="F3" t="s">
        <v>321</v>
      </c>
      <c r="G3" t="s">
        <v>340</v>
      </c>
      <c r="H3" t="s">
        <v>418</v>
      </c>
      <c r="K3">
        <f>COUNTIF($G$2:G3,Table1[[#This Row],[IC Code]])</f>
        <v>1</v>
      </c>
    </row>
    <row r="4" spans="1:12" x14ac:dyDescent="0.25">
      <c r="A4" s="18" t="s">
        <v>74</v>
      </c>
      <c r="B4" t="s">
        <v>75</v>
      </c>
      <c r="C4" t="b">
        <v>1</v>
      </c>
      <c r="D4" t="b">
        <v>1</v>
      </c>
      <c r="E4" s="16" t="s">
        <v>304</v>
      </c>
      <c r="F4" t="s">
        <v>321</v>
      </c>
      <c r="G4" t="s">
        <v>340</v>
      </c>
      <c r="K4">
        <f>COUNTIF($G$2:G4,Table1[[#This Row],[IC Code]])</f>
        <v>2</v>
      </c>
    </row>
    <row r="5" spans="1:12" x14ac:dyDescent="0.25">
      <c r="A5" t="s">
        <v>283</v>
      </c>
      <c r="B5" t="s">
        <v>284</v>
      </c>
      <c r="C5" t="b">
        <v>1</v>
      </c>
      <c r="D5" t="b">
        <v>0</v>
      </c>
      <c r="E5" s="16" t="s">
        <v>304</v>
      </c>
      <c r="F5" t="s">
        <v>321</v>
      </c>
      <c r="G5" t="s">
        <v>340</v>
      </c>
      <c r="K5">
        <f>COUNTIF($G$2:G5,Table1[[#This Row],[IC Code]])</f>
        <v>3</v>
      </c>
    </row>
    <row r="6" spans="1:12" x14ac:dyDescent="0.25">
      <c r="A6" t="s">
        <v>271</v>
      </c>
      <c r="B6" t="s">
        <v>272</v>
      </c>
      <c r="C6" t="b">
        <v>0</v>
      </c>
      <c r="D6" t="b">
        <v>0</v>
      </c>
      <c r="E6" s="16" t="s">
        <v>305</v>
      </c>
      <c r="F6" t="s">
        <v>322</v>
      </c>
      <c r="G6" t="s">
        <v>336</v>
      </c>
      <c r="K6">
        <f>COUNTIF($G$2:G6,Table1[[#This Row],[IC Code]])</f>
        <v>2</v>
      </c>
    </row>
    <row r="7" spans="1:12" x14ac:dyDescent="0.25">
      <c r="A7" t="s">
        <v>289</v>
      </c>
      <c r="B7" t="s">
        <v>290</v>
      </c>
      <c r="C7" t="b">
        <v>0</v>
      </c>
      <c r="D7" t="b">
        <v>1</v>
      </c>
      <c r="E7" s="15" t="s">
        <v>306</v>
      </c>
      <c r="F7" t="s">
        <v>323</v>
      </c>
      <c r="G7" t="s">
        <v>416</v>
      </c>
      <c r="K7">
        <f>COUNTIF($G$2:G7,Table1[[#This Row],[IC Code]])</f>
        <v>1</v>
      </c>
    </row>
    <row r="8" spans="1:12" x14ac:dyDescent="0.25">
      <c r="A8" t="s">
        <v>301</v>
      </c>
      <c r="B8" t="s">
        <v>302</v>
      </c>
      <c r="C8" t="b">
        <v>0</v>
      </c>
      <c r="D8" t="b">
        <v>1</v>
      </c>
      <c r="E8" s="17" t="s">
        <v>307</v>
      </c>
      <c r="F8" t="s">
        <v>301</v>
      </c>
      <c r="G8" t="s">
        <v>374</v>
      </c>
      <c r="K8">
        <f>COUNTIF($G$2:G8,Table1[[#This Row],[IC Code]])</f>
        <v>1</v>
      </c>
    </row>
    <row r="9" spans="1:12" x14ac:dyDescent="0.25">
      <c r="A9" t="s">
        <v>277</v>
      </c>
      <c r="B9" t="s">
        <v>278</v>
      </c>
      <c r="C9" t="b">
        <v>1</v>
      </c>
      <c r="D9" t="b">
        <v>1</v>
      </c>
      <c r="E9" s="15" t="s">
        <v>308</v>
      </c>
      <c r="F9" t="s">
        <v>324</v>
      </c>
      <c r="G9" t="s">
        <v>393</v>
      </c>
      <c r="K9">
        <f>COUNTIF($G$2:G9,Table1[[#This Row],[IC Code]])</f>
        <v>1</v>
      </c>
    </row>
    <row r="10" spans="1:12" x14ac:dyDescent="0.25">
      <c r="A10" t="s">
        <v>279</v>
      </c>
      <c r="B10" t="s">
        <v>280</v>
      </c>
      <c r="C10" t="b">
        <v>1</v>
      </c>
      <c r="D10" t="b">
        <v>0</v>
      </c>
      <c r="E10" s="15" t="s">
        <v>308</v>
      </c>
      <c r="F10" t="s">
        <v>324</v>
      </c>
      <c r="G10" t="s">
        <v>354</v>
      </c>
      <c r="K10">
        <f>COUNTIF($G$2:G10,Table1[[#This Row],[IC Code]])</f>
        <v>1</v>
      </c>
    </row>
    <row r="11" spans="1:12" x14ac:dyDescent="0.25">
      <c r="A11" t="s">
        <v>66</v>
      </c>
      <c r="B11" t="s">
        <v>266</v>
      </c>
      <c r="C11" t="b">
        <v>0</v>
      </c>
      <c r="D11" t="b">
        <v>1</v>
      </c>
      <c r="E11" s="15" t="s">
        <v>265</v>
      </c>
      <c r="F11" t="s">
        <v>325</v>
      </c>
      <c r="G11" t="s">
        <v>376</v>
      </c>
      <c r="K11">
        <f>COUNTIF($G$2:G11,Table1[[#This Row],[IC Code]])</f>
        <v>1</v>
      </c>
    </row>
    <row r="12" spans="1:12" x14ac:dyDescent="0.25">
      <c r="A12" t="s">
        <v>275</v>
      </c>
      <c r="B12" t="s">
        <v>276</v>
      </c>
      <c r="C12" t="b">
        <v>0</v>
      </c>
      <c r="D12" t="b">
        <v>0</v>
      </c>
      <c r="E12" s="16" t="s">
        <v>309</v>
      </c>
      <c r="F12" t="s">
        <v>326</v>
      </c>
      <c r="G12" t="s">
        <v>336</v>
      </c>
      <c r="K12">
        <f>COUNTIF($G$2:G12,Table1[[#This Row],[IC Code]])</f>
        <v>3</v>
      </c>
    </row>
    <row r="13" spans="1:12" x14ac:dyDescent="0.25">
      <c r="A13" t="s">
        <v>291</v>
      </c>
      <c r="B13" t="s">
        <v>292</v>
      </c>
      <c r="C13" t="b">
        <v>0</v>
      </c>
      <c r="D13" t="b">
        <v>1</v>
      </c>
      <c r="E13" s="17" t="s">
        <v>310</v>
      </c>
      <c r="F13" t="s">
        <v>327</v>
      </c>
      <c r="G13" t="s">
        <v>385</v>
      </c>
      <c r="K13">
        <f>COUNTIF($G$2:G13,Table1[[#This Row],[IC Code]])</f>
        <v>1</v>
      </c>
    </row>
    <row r="14" spans="1:12" x14ac:dyDescent="0.25">
      <c r="A14" t="s">
        <v>297</v>
      </c>
      <c r="B14" t="s">
        <v>298</v>
      </c>
      <c r="C14" t="b">
        <v>0</v>
      </c>
      <c r="D14" t="b">
        <v>0</v>
      </c>
      <c r="E14" s="17" t="s">
        <v>311</v>
      </c>
      <c r="F14" t="s">
        <v>328</v>
      </c>
      <c r="G14" t="s">
        <v>399</v>
      </c>
      <c r="K14">
        <f>COUNTIF($G$2:G14,Table1[[#This Row],[IC Code]])</f>
        <v>1</v>
      </c>
    </row>
    <row r="15" spans="1:12" x14ac:dyDescent="0.25">
      <c r="A15" t="s">
        <v>281</v>
      </c>
      <c r="B15" t="s">
        <v>282</v>
      </c>
      <c r="C15" t="b">
        <v>0</v>
      </c>
      <c r="D15" t="b">
        <v>0</v>
      </c>
      <c r="E15" s="16" t="s">
        <v>312</v>
      </c>
      <c r="F15" t="s">
        <v>281</v>
      </c>
      <c r="G15" t="s">
        <v>417</v>
      </c>
      <c r="K15">
        <f>COUNTIF($G$2:G15,Table1[[#This Row],[IC Code]])</f>
        <v>1</v>
      </c>
    </row>
    <row r="16" spans="1:12" x14ac:dyDescent="0.25">
      <c r="A16" t="s">
        <v>273</v>
      </c>
      <c r="B16" t="s">
        <v>274</v>
      </c>
      <c r="C16" t="b">
        <v>0</v>
      </c>
      <c r="D16" t="b">
        <v>0</v>
      </c>
      <c r="E16" s="15" t="s">
        <v>313</v>
      </c>
      <c r="F16" t="s">
        <v>329</v>
      </c>
      <c r="G16" t="s">
        <v>336</v>
      </c>
      <c r="K16">
        <f>COUNTIF($G$2:G16,Table1[[#This Row],[IC Code]])</f>
        <v>4</v>
      </c>
    </row>
    <row r="17" spans="1:11" x14ac:dyDescent="0.25">
      <c r="A17" t="s">
        <v>293</v>
      </c>
      <c r="B17" t="s">
        <v>294</v>
      </c>
      <c r="C17" t="b">
        <v>1</v>
      </c>
      <c r="D17" t="b">
        <v>0</v>
      </c>
      <c r="E17" s="15" t="s">
        <v>314</v>
      </c>
      <c r="F17" t="s">
        <v>330</v>
      </c>
      <c r="G17" t="s">
        <v>402</v>
      </c>
      <c r="K17">
        <f>COUNTIF($G$2:G17,Table1[[#This Row],[IC Code]])</f>
        <v>1</v>
      </c>
    </row>
    <row r="18" spans="1:11" x14ac:dyDescent="0.25">
      <c r="A18" t="s">
        <v>295</v>
      </c>
      <c r="B18" t="s">
        <v>296</v>
      </c>
      <c r="C18" t="b">
        <v>1</v>
      </c>
      <c r="D18" t="b">
        <v>0</v>
      </c>
      <c r="E18" s="15" t="s">
        <v>314</v>
      </c>
      <c r="F18" t="s">
        <v>330</v>
      </c>
      <c r="G18" t="s">
        <v>375</v>
      </c>
      <c r="K18">
        <f>COUNTIF($G$2:G18,Table1[[#This Row],[IC Code]])</f>
        <v>1</v>
      </c>
    </row>
    <row r="19" spans="1:11" x14ac:dyDescent="0.25">
      <c r="A19" t="s">
        <v>299</v>
      </c>
      <c r="B19" t="s">
        <v>300</v>
      </c>
      <c r="C19" t="b">
        <v>0</v>
      </c>
      <c r="D19" t="b">
        <v>1</v>
      </c>
      <c r="E19" s="15" t="s">
        <v>315</v>
      </c>
      <c r="F19" t="s">
        <v>331</v>
      </c>
      <c r="G19" t="s">
        <v>406</v>
      </c>
      <c r="K19">
        <f>COUNTIF($G$2:G19,Table1[[#This Row],[IC Code]])</f>
        <v>1</v>
      </c>
    </row>
    <row r="20" spans="1:11" x14ac:dyDescent="0.25">
      <c r="A20" t="s">
        <v>287</v>
      </c>
      <c r="B20" t="s">
        <v>288</v>
      </c>
      <c r="C20" t="b">
        <v>0</v>
      </c>
      <c r="D20" t="b">
        <v>0</v>
      </c>
      <c r="E20" s="16" t="s">
        <v>316</v>
      </c>
      <c r="F20" t="s">
        <v>332</v>
      </c>
      <c r="G20" t="s">
        <v>378</v>
      </c>
      <c r="K20">
        <f>COUNTIF($G$2:G20,Table1[[#This Row],[IC Code]])</f>
        <v>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ED5D7-6E8B-4689-8E9C-91519676BF08}">
  <dimension ref="A1:D67"/>
  <sheetViews>
    <sheetView workbookViewId="0">
      <selection activeCell="H18" sqref="H18"/>
    </sheetView>
  </sheetViews>
  <sheetFormatPr defaultRowHeight="15" x14ac:dyDescent="0.25"/>
  <cols>
    <col min="1" max="1" width="34.5703125" bestFit="1" customWidth="1"/>
    <col min="4" max="4" width="29.42578125" bestFit="1" customWidth="1"/>
  </cols>
  <sheetData>
    <row r="1" spans="1:4" x14ac:dyDescent="0.25">
      <c r="A1" s="20" t="s">
        <v>333</v>
      </c>
      <c r="B1" s="20"/>
      <c r="C1" s="20"/>
      <c r="D1" s="20" t="s">
        <v>334</v>
      </c>
    </row>
    <row r="2" spans="1:4" x14ac:dyDescent="0.25">
      <c r="A2" s="20" t="s">
        <v>335</v>
      </c>
      <c r="B2" s="20"/>
      <c r="C2" s="20"/>
      <c r="D2" s="21" t="s">
        <v>336</v>
      </c>
    </row>
    <row r="3" spans="1:4" x14ac:dyDescent="0.25">
      <c r="A3" s="20" t="s">
        <v>337</v>
      </c>
      <c r="B3" s="20"/>
      <c r="C3" s="20"/>
      <c r="D3" s="21" t="s">
        <v>338</v>
      </c>
    </row>
    <row r="4" spans="1:4" x14ac:dyDescent="0.25">
      <c r="A4" s="20" t="s">
        <v>339</v>
      </c>
      <c r="B4" s="20"/>
      <c r="C4" s="20"/>
      <c r="D4" s="21" t="s">
        <v>340</v>
      </c>
    </row>
    <row r="5" spans="1:4" x14ac:dyDescent="0.25">
      <c r="A5" s="20" t="s">
        <v>341</v>
      </c>
      <c r="B5" s="20"/>
      <c r="C5" s="20"/>
      <c r="D5" s="21" t="s">
        <v>342</v>
      </c>
    </row>
    <row r="6" spans="1:4" x14ac:dyDescent="0.25">
      <c r="A6" s="20" t="s">
        <v>343</v>
      </c>
      <c r="B6" s="20"/>
      <c r="C6" s="20"/>
      <c r="D6" s="21" t="s">
        <v>344</v>
      </c>
    </row>
    <row r="7" spans="1:4" x14ac:dyDescent="0.25">
      <c r="A7" s="20" t="s">
        <v>345</v>
      </c>
      <c r="B7" s="20"/>
      <c r="C7" s="20"/>
      <c r="D7" s="21" t="s">
        <v>346</v>
      </c>
    </row>
    <row r="8" spans="1:4" x14ac:dyDescent="0.25">
      <c r="A8" s="20" t="s">
        <v>347</v>
      </c>
      <c r="B8" s="20"/>
      <c r="C8" s="20"/>
      <c r="D8" s="21" t="s">
        <v>348</v>
      </c>
    </row>
    <row r="9" spans="1:4" x14ac:dyDescent="0.25">
      <c r="A9" s="20" t="s">
        <v>349</v>
      </c>
      <c r="B9" s="20"/>
      <c r="C9" s="20"/>
      <c r="D9" s="21" t="s">
        <v>350</v>
      </c>
    </row>
    <row r="10" spans="1:4" x14ac:dyDescent="0.25">
      <c r="A10" s="20" t="s">
        <v>351</v>
      </c>
      <c r="B10" s="20"/>
      <c r="C10" s="20"/>
      <c r="D10" s="21" t="s">
        <v>352</v>
      </c>
    </row>
    <row r="11" spans="1:4" x14ac:dyDescent="0.25">
      <c r="A11" s="20" t="s">
        <v>353</v>
      </c>
      <c r="B11" s="20"/>
      <c r="C11" s="20"/>
      <c r="D11" s="21" t="s">
        <v>354</v>
      </c>
    </row>
    <row r="12" spans="1:4" x14ac:dyDescent="0.25">
      <c r="A12" s="20" t="s">
        <v>355</v>
      </c>
      <c r="B12" s="20"/>
      <c r="C12" s="20"/>
      <c r="D12" s="21" t="s">
        <v>356</v>
      </c>
    </row>
    <row r="13" spans="1:4" x14ac:dyDescent="0.25">
      <c r="A13" s="20" t="s">
        <v>357</v>
      </c>
      <c r="B13" s="20"/>
      <c r="C13" s="20"/>
      <c r="D13" s="21" t="s">
        <v>358</v>
      </c>
    </row>
    <row r="14" spans="1:4" x14ac:dyDescent="0.25">
      <c r="A14" s="20" t="s">
        <v>359</v>
      </c>
      <c r="B14" s="20"/>
      <c r="C14" s="20"/>
      <c r="D14" s="21" t="s">
        <v>360</v>
      </c>
    </row>
    <row r="15" spans="1:4" x14ac:dyDescent="0.25">
      <c r="A15" s="20" t="s">
        <v>361</v>
      </c>
      <c r="B15" s="20"/>
      <c r="C15" s="20"/>
      <c r="D15" s="21" t="s">
        <v>362</v>
      </c>
    </row>
    <row r="16" spans="1:4" x14ac:dyDescent="0.25">
      <c r="A16" s="20"/>
      <c r="B16" s="20"/>
      <c r="C16" s="20"/>
      <c r="D16" s="21" t="s">
        <v>363</v>
      </c>
    </row>
    <row r="17" spans="1:4" x14ac:dyDescent="0.25">
      <c r="A17" s="20"/>
      <c r="B17" s="20"/>
      <c r="C17" s="20"/>
      <c r="D17" s="21" t="s">
        <v>364</v>
      </c>
    </row>
    <row r="18" spans="1:4" x14ac:dyDescent="0.25">
      <c r="A18" s="20"/>
      <c r="B18" s="20"/>
      <c r="C18" s="20"/>
      <c r="D18" s="21" t="s">
        <v>365</v>
      </c>
    </row>
    <row r="19" spans="1:4" x14ac:dyDescent="0.25">
      <c r="A19" s="20"/>
      <c r="B19" s="20"/>
      <c r="C19" s="20"/>
      <c r="D19" s="21" t="s">
        <v>366</v>
      </c>
    </row>
    <row r="20" spans="1:4" x14ac:dyDescent="0.25">
      <c r="A20" s="22"/>
      <c r="B20" s="22"/>
      <c r="C20" s="22"/>
      <c r="D20" s="21" t="s">
        <v>367</v>
      </c>
    </row>
    <row r="21" spans="1:4" x14ac:dyDescent="0.25">
      <c r="A21" s="20"/>
      <c r="B21" s="20"/>
      <c r="C21" s="20"/>
      <c r="D21" s="21" t="s">
        <v>368</v>
      </c>
    </row>
    <row r="22" spans="1:4" x14ac:dyDescent="0.25">
      <c r="A22" s="20"/>
      <c r="B22" s="20"/>
      <c r="C22" s="20"/>
      <c r="D22" s="23" t="s">
        <v>369</v>
      </c>
    </row>
    <row r="23" spans="1:4" x14ac:dyDescent="0.25">
      <c r="A23" s="20"/>
      <c r="B23" s="20"/>
      <c r="C23" s="20"/>
      <c r="D23" s="23" t="s">
        <v>370</v>
      </c>
    </row>
    <row r="24" spans="1:4" x14ac:dyDescent="0.25">
      <c r="A24" s="20"/>
      <c r="B24" s="20"/>
      <c r="C24" s="20"/>
      <c r="D24" s="21" t="s">
        <v>371</v>
      </c>
    </row>
    <row r="25" spans="1:4" x14ac:dyDescent="0.25">
      <c r="A25" s="20"/>
      <c r="B25" s="20"/>
      <c r="C25" s="20"/>
      <c r="D25" s="21" t="s">
        <v>372</v>
      </c>
    </row>
    <row r="26" spans="1:4" x14ac:dyDescent="0.25">
      <c r="A26" s="20"/>
      <c r="B26" s="20"/>
      <c r="C26" s="20"/>
      <c r="D26" s="21" t="s">
        <v>373</v>
      </c>
    </row>
    <row r="27" spans="1:4" x14ac:dyDescent="0.25">
      <c r="A27" s="20"/>
      <c r="B27" s="20"/>
      <c r="C27" s="20"/>
      <c r="D27" s="21" t="s">
        <v>374</v>
      </c>
    </row>
    <row r="28" spans="1:4" x14ac:dyDescent="0.25">
      <c r="A28" s="20"/>
      <c r="B28" s="20"/>
      <c r="C28" s="20"/>
      <c r="D28" s="21" t="s">
        <v>375</v>
      </c>
    </row>
    <row r="29" spans="1:4" x14ac:dyDescent="0.25">
      <c r="A29" s="20"/>
      <c r="B29" s="20"/>
      <c r="C29" s="20"/>
      <c r="D29" s="21" t="s">
        <v>376</v>
      </c>
    </row>
    <row r="30" spans="1:4" x14ac:dyDescent="0.25">
      <c r="A30" s="20"/>
      <c r="B30" s="20"/>
      <c r="C30" s="20"/>
      <c r="D30" s="21" t="s">
        <v>377</v>
      </c>
    </row>
    <row r="31" spans="1:4" x14ac:dyDescent="0.25">
      <c r="A31" s="20"/>
      <c r="B31" s="20"/>
      <c r="C31" s="20"/>
      <c r="D31" s="21" t="s">
        <v>378</v>
      </c>
    </row>
    <row r="32" spans="1:4" x14ac:dyDescent="0.25">
      <c r="A32" s="20"/>
      <c r="B32" s="20"/>
      <c r="C32" s="20"/>
      <c r="D32" s="21" t="s">
        <v>379</v>
      </c>
    </row>
    <row r="33" spans="1:4" x14ac:dyDescent="0.25">
      <c r="A33" s="20"/>
      <c r="B33" s="20"/>
      <c r="C33" s="20"/>
      <c r="D33" s="21" t="s">
        <v>380</v>
      </c>
    </row>
    <row r="34" spans="1:4" x14ac:dyDescent="0.25">
      <c r="A34" s="20"/>
      <c r="B34" s="20"/>
      <c r="C34" s="20"/>
      <c r="D34" s="21" t="s">
        <v>381</v>
      </c>
    </row>
    <row r="35" spans="1:4" x14ac:dyDescent="0.25">
      <c r="A35" s="20"/>
      <c r="B35" s="20"/>
      <c r="C35" s="20"/>
      <c r="D35" s="21" t="s">
        <v>382</v>
      </c>
    </row>
    <row r="36" spans="1:4" x14ac:dyDescent="0.25">
      <c r="A36" s="20"/>
      <c r="B36" s="20"/>
      <c r="C36" s="20"/>
      <c r="D36" s="21" t="s">
        <v>383</v>
      </c>
    </row>
    <row r="37" spans="1:4" x14ac:dyDescent="0.25">
      <c r="A37" s="20"/>
      <c r="B37" s="20"/>
      <c r="C37" s="20"/>
      <c r="D37" s="21" t="s">
        <v>384</v>
      </c>
    </row>
    <row r="38" spans="1:4" x14ac:dyDescent="0.25">
      <c r="A38" s="20"/>
      <c r="B38" s="20"/>
      <c r="C38" s="20"/>
      <c r="D38" s="21" t="s">
        <v>385</v>
      </c>
    </row>
    <row r="39" spans="1:4" x14ac:dyDescent="0.25">
      <c r="A39" s="20"/>
      <c r="B39" s="20"/>
      <c r="C39" s="20"/>
      <c r="D39" s="21" t="s">
        <v>386</v>
      </c>
    </row>
    <row r="40" spans="1:4" x14ac:dyDescent="0.25">
      <c r="A40" s="20"/>
      <c r="B40" s="20"/>
      <c r="C40" s="20"/>
      <c r="D40" s="21" t="s">
        <v>387</v>
      </c>
    </row>
    <row r="41" spans="1:4" x14ac:dyDescent="0.25">
      <c r="A41" s="20"/>
      <c r="B41" s="20"/>
      <c r="C41" s="20"/>
      <c r="D41" s="21" t="s">
        <v>388</v>
      </c>
    </row>
    <row r="42" spans="1:4" x14ac:dyDescent="0.25">
      <c r="A42" s="20"/>
      <c r="B42" s="20"/>
      <c r="C42" s="20"/>
      <c r="D42" s="21" t="s">
        <v>389</v>
      </c>
    </row>
    <row r="43" spans="1:4" x14ac:dyDescent="0.25">
      <c r="A43" s="20"/>
      <c r="B43" s="20"/>
      <c r="C43" s="20"/>
      <c r="D43" s="21" t="s">
        <v>390</v>
      </c>
    </row>
    <row r="44" spans="1:4" x14ac:dyDescent="0.25">
      <c r="A44" s="20"/>
      <c r="B44" s="20"/>
      <c r="C44" s="20"/>
      <c r="D44" s="21" t="s">
        <v>391</v>
      </c>
    </row>
    <row r="45" spans="1:4" x14ac:dyDescent="0.25">
      <c r="A45" s="20"/>
      <c r="B45" s="20"/>
      <c r="C45" s="20"/>
      <c r="D45" s="21" t="s">
        <v>392</v>
      </c>
    </row>
    <row r="46" spans="1:4" x14ac:dyDescent="0.25">
      <c r="A46" s="20"/>
      <c r="B46" s="20"/>
      <c r="C46" s="20"/>
      <c r="D46" s="21" t="s">
        <v>393</v>
      </c>
    </row>
    <row r="47" spans="1:4" x14ac:dyDescent="0.25">
      <c r="A47" s="20"/>
      <c r="B47" s="20"/>
      <c r="C47" s="20"/>
      <c r="D47" s="21" t="s">
        <v>394</v>
      </c>
    </row>
    <row r="48" spans="1:4" x14ac:dyDescent="0.25">
      <c r="A48" s="20"/>
      <c r="B48" s="20"/>
      <c r="C48" s="20"/>
      <c r="D48" s="21" t="s">
        <v>395</v>
      </c>
    </row>
    <row r="49" spans="1:4" x14ac:dyDescent="0.25">
      <c r="A49" s="20"/>
      <c r="B49" s="20"/>
      <c r="C49" s="20"/>
      <c r="D49" s="21" t="s">
        <v>396</v>
      </c>
    </row>
    <row r="50" spans="1:4" x14ac:dyDescent="0.25">
      <c r="A50" s="20"/>
      <c r="B50" s="20"/>
      <c r="C50" s="20"/>
      <c r="D50" s="24" t="s">
        <v>397</v>
      </c>
    </row>
    <row r="51" spans="1:4" x14ac:dyDescent="0.25">
      <c r="A51" s="20"/>
      <c r="B51" s="20"/>
      <c r="C51" s="20"/>
      <c r="D51" s="24" t="s">
        <v>398</v>
      </c>
    </row>
    <row r="52" spans="1:4" x14ac:dyDescent="0.25">
      <c r="A52" s="20"/>
      <c r="B52" s="20"/>
      <c r="C52" s="20"/>
      <c r="D52" s="21" t="s">
        <v>399</v>
      </c>
    </row>
    <row r="53" spans="1:4" x14ac:dyDescent="0.25">
      <c r="A53" s="20"/>
      <c r="B53" s="20"/>
      <c r="C53" s="20"/>
      <c r="D53" s="21" t="s">
        <v>400</v>
      </c>
    </row>
    <row r="54" spans="1:4" x14ac:dyDescent="0.25">
      <c r="A54" s="20"/>
      <c r="B54" s="20"/>
      <c r="C54" s="20"/>
      <c r="D54" s="21" t="s">
        <v>401</v>
      </c>
    </row>
    <row r="55" spans="1:4" x14ac:dyDescent="0.25">
      <c r="A55" s="20"/>
      <c r="B55" s="20"/>
      <c r="C55" s="20"/>
      <c r="D55" s="21" t="s">
        <v>402</v>
      </c>
    </row>
    <row r="56" spans="1:4" x14ac:dyDescent="0.25">
      <c r="A56" s="20"/>
      <c r="B56" s="20"/>
      <c r="C56" s="20"/>
      <c r="D56" s="21" t="s">
        <v>403</v>
      </c>
    </row>
    <row r="57" spans="1:4" x14ac:dyDescent="0.25">
      <c r="A57" s="20"/>
      <c r="B57" s="20"/>
      <c r="C57" s="20"/>
      <c r="D57" s="21" t="s">
        <v>404</v>
      </c>
    </row>
    <row r="58" spans="1:4" x14ac:dyDescent="0.25">
      <c r="A58" s="20"/>
      <c r="B58" s="20"/>
      <c r="C58" s="20"/>
      <c r="D58" s="21" t="s">
        <v>405</v>
      </c>
    </row>
    <row r="59" spans="1:4" x14ac:dyDescent="0.25">
      <c r="A59" s="20"/>
      <c r="B59" s="20"/>
      <c r="C59" s="20"/>
      <c r="D59" s="21" t="s">
        <v>406</v>
      </c>
    </row>
    <row r="60" spans="1:4" x14ac:dyDescent="0.25">
      <c r="A60" s="20"/>
      <c r="B60" s="20"/>
      <c r="C60" s="20"/>
      <c r="D60" s="21" t="s">
        <v>407</v>
      </c>
    </row>
    <row r="61" spans="1:4" x14ac:dyDescent="0.25">
      <c r="A61" s="20"/>
      <c r="B61" s="20"/>
      <c r="C61" s="20"/>
      <c r="D61" s="21" t="s">
        <v>408</v>
      </c>
    </row>
    <row r="62" spans="1:4" x14ac:dyDescent="0.25">
      <c r="A62" s="20"/>
      <c r="B62" s="20"/>
      <c r="C62" s="20"/>
      <c r="D62" s="21" t="s">
        <v>409</v>
      </c>
    </row>
    <row r="63" spans="1:4" x14ac:dyDescent="0.25">
      <c r="A63" s="20"/>
      <c r="B63" s="20"/>
      <c r="C63" s="20"/>
      <c r="D63" s="21" t="s">
        <v>410</v>
      </c>
    </row>
    <row r="64" spans="1:4" x14ac:dyDescent="0.25">
      <c r="A64" s="20"/>
      <c r="B64" s="20"/>
      <c r="C64" s="20"/>
      <c r="D64" s="21" t="s">
        <v>411</v>
      </c>
    </row>
    <row r="65" spans="1:4" x14ac:dyDescent="0.25">
      <c r="A65" s="20"/>
      <c r="B65" s="20"/>
      <c r="C65" s="20"/>
      <c r="D65" s="21" t="s">
        <v>412</v>
      </c>
    </row>
    <row r="66" spans="1:4" x14ac:dyDescent="0.25">
      <c r="A66" s="20"/>
      <c r="B66" s="20"/>
      <c r="C66" s="20"/>
      <c r="D66" s="21" t="s">
        <v>413</v>
      </c>
    </row>
    <row r="67" spans="1:4" x14ac:dyDescent="0.25">
      <c r="A67" s="20"/>
      <c r="B67" s="20"/>
      <c r="C67" s="20"/>
      <c r="D67" s="21" t="s">
        <v>414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75E0B-5E4A-47E0-BD6B-6A9CD474A909}">
  <dimension ref="A1:L48"/>
  <sheetViews>
    <sheetView zoomScaleNormal="100" workbookViewId="0">
      <pane xSplit="2" ySplit="1" topLeftCell="G17" activePane="bottomRight" state="frozen"/>
      <selection pane="topRight" activeCell="C1" sqref="C1"/>
      <selection pane="bottomLeft" activeCell="A2" sqref="A2"/>
      <selection pane="bottomRight" activeCell="N28" sqref="N28"/>
    </sheetView>
  </sheetViews>
  <sheetFormatPr defaultRowHeight="15" x14ac:dyDescent="0.25"/>
  <cols>
    <col min="1" max="1" width="13.5703125" style="4" customWidth="1"/>
    <col min="2" max="2" width="40" style="4" customWidth="1"/>
    <col min="3" max="4" width="68" style="4" bestFit="1" customWidth="1"/>
    <col min="5" max="5" width="24.5703125" style="4" customWidth="1"/>
    <col min="6" max="7" width="24.85546875" style="4" customWidth="1"/>
    <col min="8" max="8" width="36.7109375" style="4" customWidth="1"/>
    <col min="9" max="9" width="30.7109375" style="4" customWidth="1"/>
    <col min="10" max="11" width="33" style="4" customWidth="1"/>
    <col min="12" max="12" width="31.85546875" style="4" customWidth="1"/>
    <col min="13" max="16384" width="9.140625" style="4"/>
  </cols>
  <sheetData>
    <row r="1" spans="1:12" s="5" customFormat="1" x14ac:dyDescent="0.25">
      <c r="A1" s="5" t="s">
        <v>99</v>
      </c>
      <c r="B1" s="5" t="s">
        <v>0</v>
      </c>
      <c r="C1" s="5" t="s">
        <v>252</v>
      </c>
      <c r="D1" s="5" t="s">
        <v>253</v>
      </c>
      <c r="E1" s="5" t="s">
        <v>114</v>
      </c>
      <c r="F1" s="5" t="s">
        <v>161</v>
      </c>
      <c r="G1" s="5" t="s">
        <v>159</v>
      </c>
      <c r="H1" s="5" t="s">
        <v>100</v>
      </c>
      <c r="I1" s="5" t="s">
        <v>101</v>
      </c>
      <c r="J1" s="5" t="s">
        <v>102</v>
      </c>
      <c r="K1" s="5" t="s">
        <v>171</v>
      </c>
      <c r="L1" s="5" t="s">
        <v>152</v>
      </c>
    </row>
    <row r="2" spans="1:12" x14ac:dyDescent="0.25">
      <c r="A2" s="4" t="s">
        <v>103</v>
      </c>
      <c r="B2" s="9" t="s">
        <v>104</v>
      </c>
      <c r="C2" s="4" t="s">
        <v>104</v>
      </c>
      <c r="D2" s="4" t="s">
        <v>104</v>
      </c>
      <c r="E2" s="4" t="s">
        <v>163</v>
      </c>
      <c r="F2" s="4" t="s">
        <v>162</v>
      </c>
      <c r="G2" s="4" t="s">
        <v>148</v>
      </c>
      <c r="H2" s="4" t="s">
        <v>158</v>
      </c>
      <c r="I2" s="4" t="s">
        <v>151</v>
      </c>
      <c r="J2" s="4" t="s">
        <v>158</v>
      </c>
      <c r="K2" s="4" t="s">
        <v>151</v>
      </c>
      <c r="L2" s="4" t="s">
        <v>158</v>
      </c>
    </row>
    <row r="3" spans="1:12" x14ac:dyDescent="0.25">
      <c r="A3" s="4" t="s">
        <v>105</v>
      </c>
      <c r="B3" s="12" t="s">
        <v>246</v>
      </c>
      <c r="C3" s="4" t="s">
        <v>246</v>
      </c>
      <c r="D3" s="4" t="s">
        <v>246</v>
      </c>
      <c r="E3" s="4" t="s">
        <v>165</v>
      </c>
      <c r="F3" s="4" t="s">
        <v>166</v>
      </c>
      <c r="G3" s="4" t="s">
        <v>148</v>
      </c>
      <c r="H3" s="4" t="s">
        <v>158</v>
      </c>
      <c r="I3" s="4" t="s">
        <v>240</v>
      </c>
      <c r="J3" s="4" t="s">
        <v>158</v>
      </c>
      <c r="K3" s="4" t="s">
        <v>151</v>
      </c>
      <c r="L3" s="4" t="s">
        <v>158</v>
      </c>
    </row>
    <row r="4" spans="1:12" x14ac:dyDescent="0.25">
      <c r="A4" s="4" t="s">
        <v>106</v>
      </c>
      <c r="B4" s="12" t="s">
        <v>121</v>
      </c>
      <c r="C4" s="4" t="s">
        <v>121</v>
      </c>
      <c r="D4" s="4" t="s">
        <v>121</v>
      </c>
      <c r="E4" s="4" t="s">
        <v>165</v>
      </c>
      <c r="F4" s="4" t="s">
        <v>166</v>
      </c>
      <c r="G4" s="4" t="s">
        <v>148</v>
      </c>
      <c r="H4" s="4" t="s">
        <v>158</v>
      </c>
      <c r="I4" s="4" t="s">
        <v>151</v>
      </c>
      <c r="J4" s="4" t="s">
        <v>158</v>
      </c>
      <c r="K4" s="4" t="s">
        <v>151</v>
      </c>
      <c r="L4" s="4" t="s">
        <v>158</v>
      </c>
    </row>
    <row r="5" spans="1:12" x14ac:dyDescent="0.25">
      <c r="A5" s="4" t="s">
        <v>234</v>
      </c>
      <c r="B5" s="12" t="s">
        <v>237</v>
      </c>
      <c r="C5" s="4" t="s">
        <v>238</v>
      </c>
      <c r="D5" s="4" t="s">
        <v>238</v>
      </c>
      <c r="E5" s="4" t="s">
        <v>165</v>
      </c>
      <c r="F5" s="4" t="s">
        <v>166</v>
      </c>
      <c r="G5" s="4" t="s">
        <v>148</v>
      </c>
      <c r="H5" s="4" t="s">
        <v>158</v>
      </c>
      <c r="I5" s="4" t="s">
        <v>151</v>
      </c>
      <c r="J5" s="4" t="s">
        <v>158</v>
      </c>
      <c r="K5" s="4" t="s">
        <v>151</v>
      </c>
      <c r="L5" s="4" t="s">
        <v>158</v>
      </c>
    </row>
    <row r="6" spans="1:12" x14ac:dyDescent="0.25">
      <c r="A6" s="4" t="s">
        <v>206</v>
      </c>
      <c r="B6" s="12" t="s">
        <v>239</v>
      </c>
      <c r="C6" s="4" t="s">
        <v>239</v>
      </c>
      <c r="D6" s="4" t="s">
        <v>239</v>
      </c>
      <c r="E6" s="4" t="s">
        <v>163</v>
      </c>
      <c r="F6" s="4" t="s">
        <v>166</v>
      </c>
      <c r="G6" s="4" t="s">
        <v>148</v>
      </c>
      <c r="H6" s="4" t="s">
        <v>150</v>
      </c>
      <c r="I6" s="4" t="s">
        <v>151</v>
      </c>
      <c r="J6" s="4" t="s">
        <v>150</v>
      </c>
      <c r="K6" s="4" t="s">
        <v>158</v>
      </c>
      <c r="L6" s="4" t="s">
        <v>150</v>
      </c>
    </row>
    <row r="7" spans="1:12" x14ac:dyDescent="0.25">
      <c r="A7" s="4" t="s">
        <v>207</v>
      </c>
      <c r="B7" s="13" t="s">
        <v>208</v>
      </c>
      <c r="C7" s="4" t="s">
        <v>208</v>
      </c>
      <c r="D7" s="4" t="s">
        <v>208</v>
      </c>
      <c r="E7" s="4" t="s">
        <v>163</v>
      </c>
      <c r="F7" s="4" t="s">
        <v>166</v>
      </c>
      <c r="G7" s="4" t="s">
        <v>148</v>
      </c>
      <c r="H7" s="4" t="s">
        <v>150</v>
      </c>
      <c r="I7" s="4" t="s">
        <v>151</v>
      </c>
      <c r="J7" s="4" t="s">
        <v>151</v>
      </c>
      <c r="K7" s="4" t="s">
        <v>151</v>
      </c>
      <c r="L7" s="4" t="s">
        <v>151</v>
      </c>
    </row>
    <row r="8" spans="1:12" x14ac:dyDescent="0.25">
      <c r="A8" s="4" t="s">
        <v>211</v>
      </c>
      <c r="B8" s="12" t="s">
        <v>242</v>
      </c>
      <c r="C8" s="4" t="s">
        <v>242</v>
      </c>
      <c r="D8" s="4" t="s">
        <v>242</v>
      </c>
      <c r="E8" s="4" t="s">
        <v>165</v>
      </c>
      <c r="F8" s="4" t="s">
        <v>166</v>
      </c>
      <c r="G8" s="4" t="s">
        <v>148</v>
      </c>
      <c r="H8" s="4" t="s">
        <v>158</v>
      </c>
      <c r="I8" s="4" t="s">
        <v>240</v>
      </c>
      <c r="J8" s="4" t="s">
        <v>158</v>
      </c>
      <c r="K8" s="4" t="s">
        <v>158</v>
      </c>
      <c r="L8" s="4" t="s">
        <v>158</v>
      </c>
    </row>
    <row r="9" spans="1:12" x14ac:dyDescent="0.25">
      <c r="A9" s="4" t="s">
        <v>235</v>
      </c>
      <c r="B9" s="12" t="s">
        <v>241</v>
      </c>
      <c r="C9" s="4" t="s">
        <v>236</v>
      </c>
      <c r="D9" s="4" t="s">
        <v>236</v>
      </c>
      <c r="E9" s="4" t="s">
        <v>165</v>
      </c>
      <c r="F9" s="4" t="s">
        <v>166</v>
      </c>
      <c r="G9" s="4" t="s">
        <v>148</v>
      </c>
      <c r="H9" s="4" t="s">
        <v>158</v>
      </c>
      <c r="I9" s="4" t="s">
        <v>240</v>
      </c>
      <c r="J9" s="4" t="s">
        <v>158</v>
      </c>
      <c r="K9" s="4" t="s">
        <v>158</v>
      </c>
      <c r="L9" s="4" t="s">
        <v>158</v>
      </c>
    </row>
    <row r="10" spans="1:12" x14ac:dyDescent="0.25">
      <c r="B10" s="9"/>
    </row>
    <row r="11" spans="1:12" customFormat="1" x14ac:dyDescent="0.25">
      <c r="A11" s="4" t="s">
        <v>127</v>
      </c>
      <c r="B11" s="12" t="s">
        <v>125</v>
      </c>
      <c r="C11" s="4" t="s">
        <v>125</v>
      </c>
      <c r="D11" s="4" t="s">
        <v>125</v>
      </c>
      <c r="E11" s="4" t="s">
        <v>163</v>
      </c>
      <c r="F11" s="4" t="s">
        <v>166</v>
      </c>
      <c r="G11" s="4" t="s">
        <v>149</v>
      </c>
      <c r="H11" s="4" t="s">
        <v>150</v>
      </c>
      <c r="I11" s="4" t="s">
        <v>151</v>
      </c>
      <c r="J11" s="4" t="s">
        <v>151</v>
      </c>
      <c r="K11" s="4" t="s">
        <v>151</v>
      </c>
      <c r="L11" s="4" t="s">
        <v>151</v>
      </c>
    </row>
    <row r="12" spans="1:12" customFormat="1" x14ac:dyDescent="0.25">
      <c r="A12" s="4" t="s">
        <v>128</v>
      </c>
      <c r="B12" s="12" t="s">
        <v>126</v>
      </c>
      <c r="C12" s="4" t="s">
        <v>126</v>
      </c>
      <c r="D12" s="4" t="s">
        <v>126</v>
      </c>
      <c r="E12" s="4" t="s">
        <v>163</v>
      </c>
      <c r="F12" s="4" t="s">
        <v>166</v>
      </c>
      <c r="G12" s="4" t="s">
        <v>149</v>
      </c>
      <c r="H12" s="4" t="s">
        <v>150</v>
      </c>
      <c r="I12" s="4" t="s">
        <v>151</v>
      </c>
      <c r="J12" s="4" t="s">
        <v>151</v>
      </c>
      <c r="K12" s="4" t="s">
        <v>151</v>
      </c>
      <c r="L12" s="4" t="s">
        <v>151</v>
      </c>
    </row>
    <row r="13" spans="1:12" customFormat="1" x14ac:dyDescent="0.25">
      <c r="A13" s="4" t="s">
        <v>231</v>
      </c>
      <c r="B13" s="12" t="s">
        <v>232</v>
      </c>
      <c r="C13" s="4" t="s">
        <v>233</v>
      </c>
      <c r="D13" s="4" t="s">
        <v>233</v>
      </c>
      <c r="E13" s="4" t="s">
        <v>163</v>
      </c>
      <c r="F13" s="4" t="s">
        <v>166</v>
      </c>
      <c r="G13" s="4" t="s">
        <v>149</v>
      </c>
      <c r="H13" s="4" t="s">
        <v>158</v>
      </c>
      <c r="I13" s="4" t="s">
        <v>151</v>
      </c>
      <c r="J13" s="4" t="s">
        <v>158</v>
      </c>
      <c r="K13" s="4" t="s">
        <v>151</v>
      </c>
      <c r="L13" s="4" t="s">
        <v>158</v>
      </c>
    </row>
    <row r="14" spans="1:12" customFormat="1" x14ac:dyDescent="0.25">
      <c r="A14" s="4"/>
      <c r="B14" s="9"/>
      <c r="C14" s="4"/>
      <c r="D14" s="4"/>
      <c r="E14" s="4"/>
      <c r="F14" s="4"/>
      <c r="G14" s="4"/>
      <c r="H14" s="4"/>
      <c r="I14" s="4"/>
      <c r="J14" s="4"/>
      <c r="K14" s="4"/>
      <c r="L14" s="4"/>
    </row>
    <row r="15" spans="1:12" x14ac:dyDescent="0.25">
      <c r="A15" s="4" t="s">
        <v>107</v>
      </c>
      <c r="B15" s="12" t="s">
        <v>175</v>
      </c>
      <c r="C15" s="4" t="s">
        <v>176</v>
      </c>
      <c r="D15" s="4" t="s">
        <v>176</v>
      </c>
      <c r="E15" s="4" t="s">
        <v>163</v>
      </c>
      <c r="F15" s="4" t="s">
        <v>162</v>
      </c>
      <c r="G15" s="4" t="s">
        <v>149</v>
      </c>
      <c r="H15" s="4" t="s">
        <v>158</v>
      </c>
      <c r="I15" s="4" t="s">
        <v>151</v>
      </c>
      <c r="J15" s="4" t="s">
        <v>151</v>
      </c>
      <c r="K15" s="4" t="s">
        <v>151</v>
      </c>
      <c r="L15" s="4" t="s">
        <v>151</v>
      </c>
    </row>
    <row r="16" spans="1:12" x14ac:dyDescent="0.25">
      <c r="A16" s="4" t="s">
        <v>129</v>
      </c>
      <c r="B16" s="12" t="s">
        <v>108</v>
      </c>
      <c r="C16" s="4" t="s">
        <v>108</v>
      </c>
      <c r="D16" s="4" t="s">
        <v>108</v>
      </c>
      <c r="E16" s="4" t="s">
        <v>165</v>
      </c>
      <c r="F16" s="4" t="s">
        <v>166</v>
      </c>
      <c r="G16" s="4" t="s">
        <v>149</v>
      </c>
      <c r="H16" s="4" t="s">
        <v>150</v>
      </c>
      <c r="I16" s="4" t="s">
        <v>151</v>
      </c>
      <c r="J16" s="4" t="s">
        <v>151</v>
      </c>
      <c r="K16" s="4" t="s">
        <v>151</v>
      </c>
      <c r="L16" s="4" t="s">
        <v>153</v>
      </c>
    </row>
    <row r="17" spans="1:12" x14ac:dyDescent="0.25">
      <c r="A17" s="4" t="s">
        <v>130</v>
      </c>
      <c r="B17" s="12" t="s">
        <v>109</v>
      </c>
      <c r="C17" s="4" t="s">
        <v>109</v>
      </c>
      <c r="D17" s="4" t="s">
        <v>109</v>
      </c>
      <c r="E17" s="4" t="s">
        <v>165</v>
      </c>
      <c r="F17" s="4" t="s">
        <v>162</v>
      </c>
      <c r="G17" s="4" t="s">
        <v>149</v>
      </c>
      <c r="H17" s="4" t="s">
        <v>150</v>
      </c>
      <c r="I17" s="4" t="s">
        <v>151</v>
      </c>
      <c r="J17" s="4" t="s">
        <v>151</v>
      </c>
      <c r="K17" s="4" t="s">
        <v>151</v>
      </c>
      <c r="L17" s="4" t="s">
        <v>153</v>
      </c>
    </row>
    <row r="18" spans="1:12" x14ac:dyDescent="0.25">
      <c r="A18" s="4" t="s">
        <v>131</v>
      </c>
      <c r="B18" s="12" t="s">
        <v>110</v>
      </c>
      <c r="C18" s="4" t="s">
        <v>192</v>
      </c>
      <c r="D18" s="4" t="s">
        <v>192</v>
      </c>
      <c r="E18" s="4" t="s">
        <v>163</v>
      </c>
      <c r="F18" s="4" t="s">
        <v>162</v>
      </c>
      <c r="G18" s="4" t="s">
        <v>149</v>
      </c>
      <c r="H18" s="4" t="s">
        <v>151</v>
      </c>
      <c r="I18" s="4" t="s">
        <v>151</v>
      </c>
      <c r="J18" s="4" t="s">
        <v>151</v>
      </c>
      <c r="K18" s="4" t="s">
        <v>151</v>
      </c>
      <c r="L18" s="4" t="s">
        <v>153</v>
      </c>
    </row>
    <row r="19" spans="1:12" x14ac:dyDescent="0.25">
      <c r="A19" s="4" t="s">
        <v>132</v>
      </c>
      <c r="B19" s="12" t="s">
        <v>111</v>
      </c>
      <c r="C19" s="4" t="s">
        <v>111</v>
      </c>
      <c r="D19" s="4" t="s">
        <v>111</v>
      </c>
      <c r="E19" s="4" t="s">
        <v>165</v>
      </c>
      <c r="F19" s="4" t="s">
        <v>166</v>
      </c>
      <c r="G19" s="4" t="s">
        <v>149</v>
      </c>
      <c r="H19" s="4" t="s">
        <v>150</v>
      </c>
      <c r="I19" s="4" t="s">
        <v>151</v>
      </c>
      <c r="J19" s="4" t="s">
        <v>151</v>
      </c>
      <c r="K19" s="4" t="s">
        <v>151</v>
      </c>
      <c r="L19" s="4" t="s">
        <v>153</v>
      </c>
    </row>
    <row r="20" spans="1:12" x14ac:dyDescent="0.25">
      <c r="A20" s="4" t="s">
        <v>133</v>
      </c>
      <c r="B20" s="12" t="s">
        <v>112</v>
      </c>
      <c r="C20" s="4" t="s">
        <v>112</v>
      </c>
      <c r="D20" s="4" t="s">
        <v>112</v>
      </c>
      <c r="E20" s="4" t="s">
        <v>165</v>
      </c>
      <c r="F20" s="4" t="s">
        <v>166</v>
      </c>
      <c r="G20" s="4" t="s">
        <v>149</v>
      </c>
      <c r="H20" s="4" t="s">
        <v>150</v>
      </c>
      <c r="I20" s="4" t="s">
        <v>151</v>
      </c>
      <c r="J20" s="4" t="s">
        <v>151</v>
      </c>
      <c r="K20" s="4" t="s">
        <v>151</v>
      </c>
      <c r="L20" s="4" t="s">
        <v>153</v>
      </c>
    </row>
    <row r="21" spans="1:12" x14ac:dyDescent="0.25">
      <c r="A21" s="4" t="s">
        <v>134</v>
      </c>
      <c r="B21" s="12" t="s">
        <v>119</v>
      </c>
      <c r="C21" s="4" t="s">
        <v>119</v>
      </c>
      <c r="D21" s="4" t="s">
        <v>119</v>
      </c>
      <c r="E21" s="4" t="s">
        <v>165</v>
      </c>
      <c r="F21" s="4" t="s">
        <v>166</v>
      </c>
      <c r="G21" s="4" t="s">
        <v>149</v>
      </c>
      <c r="H21" s="4" t="s">
        <v>150</v>
      </c>
      <c r="I21" s="4" t="s">
        <v>151</v>
      </c>
      <c r="J21" s="4" t="s">
        <v>151</v>
      </c>
      <c r="K21" s="4" t="s">
        <v>151</v>
      </c>
      <c r="L21" s="4" t="s">
        <v>153</v>
      </c>
    </row>
    <row r="22" spans="1:12" x14ac:dyDescent="0.25">
      <c r="A22" s="4" t="s">
        <v>135</v>
      </c>
      <c r="B22" s="12" t="s">
        <v>120</v>
      </c>
      <c r="C22" s="4" t="s">
        <v>120</v>
      </c>
      <c r="D22" s="4" t="s">
        <v>120</v>
      </c>
      <c r="E22" s="4" t="s">
        <v>165</v>
      </c>
      <c r="F22" s="4" t="s">
        <v>166</v>
      </c>
      <c r="G22" s="4" t="s">
        <v>149</v>
      </c>
      <c r="H22" s="4" t="s">
        <v>150</v>
      </c>
      <c r="I22" s="4" t="s">
        <v>151</v>
      </c>
      <c r="J22" s="4" t="s">
        <v>151</v>
      </c>
      <c r="K22" s="4" t="s">
        <v>151</v>
      </c>
      <c r="L22" s="4" t="s">
        <v>153</v>
      </c>
    </row>
    <row r="23" spans="1:12" x14ac:dyDescent="0.25">
      <c r="A23" s="4" t="s">
        <v>136</v>
      </c>
      <c r="B23" s="12" t="s">
        <v>118</v>
      </c>
      <c r="C23" s="4" t="s">
        <v>118</v>
      </c>
      <c r="D23" s="4" t="s">
        <v>118</v>
      </c>
      <c r="E23" s="4" t="s">
        <v>163</v>
      </c>
      <c r="F23" s="4" t="s">
        <v>162</v>
      </c>
      <c r="G23" s="4" t="s">
        <v>149</v>
      </c>
      <c r="H23" s="4" t="s">
        <v>151</v>
      </c>
      <c r="I23" s="4" t="s">
        <v>151</v>
      </c>
      <c r="J23" s="4" t="s">
        <v>150</v>
      </c>
      <c r="K23" s="4" t="s">
        <v>151</v>
      </c>
      <c r="L23" s="4" t="s">
        <v>153</v>
      </c>
    </row>
    <row r="24" spans="1:12" ht="30" x14ac:dyDescent="0.25">
      <c r="A24" s="4" t="s">
        <v>137</v>
      </c>
      <c r="B24" s="12" t="s">
        <v>209</v>
      </c>
      <c r="C24" s="8" t="s">
        <v>210</v>
      </c>
      <c r="D24" s="8" t="s">
        <v>210</v>
      </c>
      <c r="E24" s="4" t="s">
        <v>165</v>
      </c>
      <c r="F24" s="4" t="s">
        <v>162</v>
      </c>
      <c r="G24" s="4" t="s">
        <v>149</v>
      </c>
      <c r="H24" s="4" t="s">
        <v>158</v>
      </c>
      <c r="I24" s="4" t="s">
        <v>151</v>
      </c>
      <c r="J24" s="4" t="s">
        <v>151</v>
      </c>
      <c r="K24" s="4" t="s">
        <v>151</v>
      </c>
      <c r="L24" s="4" t="s">
        <v>153</v>
      </c>
    </row>
    <row r="25" spans="1:12" x14ac:dyDescent="0.25">
      <c r="A25" s="4" t="s">
        <v>185</v>
      </c>
      <c r="B25" t="s">
        <v>186</v>
      </c>
      <c r="C25" s="4" t="s">
        <v>187</v>
      </c>
      <c r="D25" s="4" t="s">
        <v>187</v>
      </c>
      <c r="E25" s="4" t="s">
        <v>165</v>
      </c>
      <c r="F25" s="4" t="s">
        <v>162</v>
      </c>
      <c r="G25" s="4" t="s">
        <v>149</v>
      </c>
      <c r="H25" s="4" t="s">
        <v>158</v>
      </c>
      <c r="I25" s="4" t="s">
        <v>151</v>
      </c>
      <c r="J25" s="4" t="s">
        <v>151</v>
      </c>
      <c r="K25" s="4" t="s">
        <v>151</v>
      </c>
      <c r="L25" s="4" t="s">
        <v>153</v>
      </c>
    </row>
    <row r="26" spans="1:12" x14ac:dyDescent="0.25">
      <c r="B26"/>
    </row>
    <row r="27" spans="1:12" x14ac:dyDescent="0.25">
      <c r="B27"/>
    </row>
    <row r="28" spans="1:12" x14ac:dyDescent="0.25">
      <c r="A28" s="4" t="s">
        <v>146</v>
      </c>
      <c r="B28" s="12" t="s">
        <v>172</v>
      </c>
      <c r="C28" s="4" t="s">
        <v>172</v>
      </c>
      <c r="D28" s="4" t="s">
        <v>172</v>
      </c>
      <c r="E28" s="4" t="s">
        <v>165</v>
      </c>
      <c r="F28" s="4" t="s">
        <v>162</v>
      </c>
      <c r="G28" s="4" t="s">
        <v>160</v>
      </c>
      <c r="H28" s="4" t="s">
        <v>158</v>
      </c>
      <c r="I28" s="4" t="s">
        <v>150</v>
      </c>
      <c r="J28" s="4" t="s">
        <v>151</v>
      </c>
      <c r="K28" s="4" t="s">
        <v>151</v>
      </c>
      <c r="L28" s="4" t="s">
        <v>151</v>
      </c>
    </row>
    <row r="29" spans="1:12" x14ac:dyDescent="0.25">
      <c r="A29" s="4" t="s">
        <v>140</v>
      </c>
      <c r="B29" s="9" t="s">
        <v>116</v>
      </c>
      <c r="C29" s="4" t="s">
        <v>226</v>
      </c>
      <c r="D29" s="4" t="s">
        <v>226</v>
      </c>
      <c r="E29" s="4" t="s">
        <v>155</v>
      </c>
      <c r="F29" s="4" t="s">
        <v>164</v>
      </c>
      <c r="G29" s="4" t="s">
        <v>160</v>
      </c>
      <c r="H29" s="4" t="s">
        <v>158</v>
      </c>
      <c r="I29" s="4" t="s">
        <v>150</v>
      </c>
      <c r="J29" s="4" t="s">
        <v>151</v>
      </c>
      <c r="K29" s="4" t="s">
        <v>150</v>
      </c>
      <c r="L29" s="4" t="s">
        <v>151</v>
      </c>
    </row>
    <row r="30" spans="1:12" x14ac:dyDescent="0.25">
      <c r="A30" s="4" t="s">
        <v>141</v>
      </c>
      <c r="B30" s="9" t="s">
        <v>115</v>
      </c>
      <c r="C30" s="4" t="s">
        <v>115</v>
      </c>
      <c r="D30" s="4" t="s">
        <v>115</v>
      </c>
      <c r="E30" s="4" t="s">
        <v>155</v>
      </c>
      <c r="F30" s="4" t="s">
        <v>164</v>
      </c>
      <c r="G30" s="4" t="s">
        <v>160</v>
      </c>
      <c r="H30" s="4" t="s">
        <v>158</v>
      </c>
      <c r="I30" s="4" t="s">
        <v>150</v>
      </c>
      <c r="J30" s="4" t="s">
        <v>151</v>
      </c>
      <c r="K30" s="4" t="s">
        <v>150</v>
      </c>
      <c r="L30" s="4" t="s">
        <v>151</v>
      </c>
    </row>
    <row r="31" spans="1:12" x14ac:dyDescent="0.25">
      <c r="A31" s="4" t="s">
        <v>142</v>
      </c>
      <c r="B31" s="9" t="s">
        <v>138</v>
      </c>
      <c r="C31" s="4" t="s">
        <v>138</v>
      </c>
      <c r="D31" s="4" t="s">
        <v>138</v>
      </c>
      <c r="E31" s="4" t="s">
        <v>155</v>
      </c>
      <c r="F31" s="4" t="s">
        <v>164</v>
      </c>
      <c r="G31" s="4" t="s">
        <v>160</v>
      </c>
      <c r="H31" s="4" t="s">
        <v>158</v>
      </c>
      <c r="I31" s="4" t="s">
        <v>150</v>
      </c>
      <c r="J31" s="4" t="s">
        <v>151</v>
      </c>
      <c r="K31" s="4" t="s">
        <v>150</v>
      </c>
      <c r="L31" s="4" t="s">
        <v>151</v>
      </c>
    </row>
    <row r="32" spans="1:12" x14ac:dyDescent="0.25">
      <c r="A32" s="4" t="s">
        <v>143</v>
      </c>
      <c r="B32" s="9" t="s">
        <v>139</v>
      </c>
      <c r="C32" s="4" t="s">
        <v>139</v>
      </c>
      <c r="D32" s="4" t="s">
        <v>139</v>
      </c>
      <c r="E32" s="4" t="s">
        <v>155</v>
      </c>
      <c r="F32" s="4" t="s">
        <v>164</v>
      </c>
      <c r="G32" s="4" t="s">
        <v>160</v>
      </c>
      <c r="H32" s="4" t="s">
        <v>158</v>
      </c>
      <c r="I32" s="4" t="s">
        <v>150</v>
      </c>
      <c r="J32" s="4" t="s">
        <v>151</v>
      </c>
      <c r="K32" s="4" t="s">
        <v>150</v>
      </c>
      <c r="L32" s="4" t="s">
        <v>151</v>
      </c>
    </row>
    <row r="33" spans="1:12" x14ac:dyDescent="0.25">
      <c r="A33" s="4" t="s">
        <v>144</v>
      </c>
      <c r="B33" s="12" t="s">
        <v>117</v>
      </c>
      <c r="C33" s="4" t="s">
        <v>117</v>
      </c>
      <c r="D33" s="4" t="s">
        <v>117</v>
      </c>
      <c r="E33" s="4" t="s">
        <v>167</v>
      </c>
      <c r="F33" s="4" t="s">
        <v>164</v>
      </c>
      <c r="G33" s="4" t="s">
        <v>160</v>
      </c>
      <c r="H33" s="4" t="s">
        <v>158</v>
      </c>
      <c r="I33" s="4" t="s">
        <v>150</v>
      </c>
      <c r="J33" s="4" t="s">
        <v>150</v>
      </c>
      <c r="K33" s="4" t="s">
        <v>150</v>
      </c>
      <c r="L33" s="4" t="s">
        <v>153</v>
      </c>
    </row>
    <row r="34" spans="1:12" x14ac:dyDescent="0.25">
      <c r="A34" s="4" t="s">
        <v>168</v>
      </c>
      <c r="B34" s="12" t="s">
        <v>169</v>
      </c>
      <c r="C34" s="4" t="s">
        <v>173</v>
      </c>
      <c r="D34" s="4" t="s">
        <v>173</v>
      </c>
      <c r="E34" s="4" t="s">
        <v>163</v>
      </c>
      <c r="F34" s="4" t="s">
        <v>162</v>
      </c>
      <c r="G34" s="4" t="s">
        <v>160</v>
      </c>
      <c r="H34" s="4" t="s">
        <v>151</v>
      </c>
      <c r="I34" s="4" t="s">
        <v>150</v>
      </c>
      <c r="J34" s="4" t="s">
        <v>150</v>
      </c>
      <c r="K34" s="4" t="s">
        <v>151</v>
      </c>
      <c r="L34" s="4" t="s">
        <v>151</v>
      </c>
    </row>
    <row r="35" spans="1:12" x14ac:dyDescent="0.25">
      <c r="A35" s="4" t="s">
        <v>145</v>
      </c>
      <c r="B35" s="12" t="s">
        <v>113</v>
      </c>
      <c r="C35" s="4" t="s">
        <v>113</v>
      </c>
      <c r="D35" s="4" t="s">
        <v>113</v>
      </c>
      <c r="E35" s="4" t="s">
        <v>163</v>
      </c>
      <c r="F35" s="4" t="s">
        <v>162</v>
      </c>
      <c r="G35" s="4" t="s">
        <v>160</v>
      </c>
      <c r="H35" s="4" t="s">
        <v>151</v>
      </c>
      <c r="I35" s="4" t="s">
        <v>150</v>
      </c>
      <c r="J35" s="4" t="s">
        <v>150</v>
      </c>
      <c r="K35" s="4" t="s">
        <v>151</v>
      </c>
      <c r="L35" s="4" t="s">
        <v>150</v>
      </c>
    </row>
    <row r="36" spans="1:12" x14ac:dyDescent="0.25">
      <c r="A36" s="4" t="s">
        <v>174</v>
      </c>
      <c r="B36" s="12" t="s">
        <v>147</v>
      </c>
      <c r="C36" s="4" t="s">
        <v>247</v>
      </c>
      <c r="D36" s="4" t="s">
        <v>247</v>
      </c>
      <c r="E36" s="4" t="s">
        <v>163</v>
      </c>
      <c r="F36" s="4" t="s">
        <v>162</v>
      </c>
      <c r="G36" s="4" t="s">
        <v>160</v>
      </c>
      <c r="H36" s="4" t="s">
        <v>151</v>
      </c>
      <c r="I36" s="4" t="s">
        <v>150</v>
      </c>
      <c r="J36" s="4" t="s">
        <v>150</v>
      </c>
      <c r="K36" s="4" t="s">
        <v>151</v>
      </c>
      <c r="L36" s="4" t="s">
        <v>153</v>
      </c>
    </row>
    <row r="37" spans="1:12" x14ac:dyDescent="0.25">
      <c r="A37" s="4" t="s">
        <v>217</v>
      </c>
      <c r="B37" s="12" t="s">
        <v>218</v>
      </c>
      <c r="C37" s="4" t="s">
        <v>219</v>
      </c>
      <c r="D37" s="4" t="s">
        <v>219</v>
      </c>
      <c r="E37" s="4" t="s">
        <v>163</v>
      </c>
      <c r="F37" s="4" t="s">
        <v>166</v>
      </c>
      <c r="G37" s="4" t="s">
        <v>160</v>
      </c>
      <c r="H37" s="4" t="s">
        <v>158</v>
      </c>
      <c r="I37" s="4" t="s">
        <v>151</v>
      </c>
      <c r="J37" s="4" t="s">
        <v>151</v>
      </c>
      <c r="K37" s="4" t="s">
        <v>151</v>
      </c>
      <c r="L37" s="4" t="s">
        <v>151</v>
      </c>
    </row>
    <row r="38" spans="1:12" x14ac:dyDescent="0.25">
      <c r="A38" s="4" t="s">
        <v>220</v>
      </c>
      <c r="B38" s="12" t="s">
        <v>221</v>
      </c>
      <c r="C38" s="4" t="s">
        <v>222</v>
      </c>
      <c r="D38" s="4" t="s">
        <v>222</v>
      </c>
      <c r="E38" s="4" t="s">
        <v>163</v>
      </c>
      <c r="F38" s="4" t="s">
        <v>166</v>
      </c>
      <c r="G38" s="4" t="s">
        <v>160</v>
      </c>
      <c r="H38" s="4" t="s">
        <v>223</v>
      </c>
      <c r="I38" s="4" t="s">
        <v>151</v>
      </c>
      <c r="J38" s="4" t="s">
        <v>151</v>
      </c>
      <c r="K38" s="4" t="s">
        <v>151</v>
      </c>
      <c r="L38" s="4" t="s">
        <v>151</v>
      </c>
    </row>
    <row r="39" spans="1:12" x14ac:dyDescent="0.25">
      <c r="A39" s="4" t="s">
        <v>261</v>
      </c>
      <c r="B39" s="12" t="s">
        <v>262</v>
      </c>
      <c r="C39" s="4" t="s">
        <v>263</v>
      </c>
      <c r="D39" s="4" t="s">
        <v>264</v>
      </c>
      <c r="E39" s="4" t="s">
        <v>163</v>
      </c>
      <c r="F39" s="4" t="s">
        <v>162</v>
      </c>
      <c r="G39" s="4" t="s">
        <v>160</v>
      </c>
      <c r="H39" s="4" t="s">
        <v>223</v>
      </c>
      <c r="I39" s="4" t="s">
        <v>150</v>
      </c>
      <c r="J39" s="4" t="s">
        <v>150</v>
      </c>
      <c r="K39" s="4" t="s">
        <v>151</v>
      </c>
      <c r="L39" s="4" t="s">
        <v>151</v>
      </c>
    </row>
    <row r="40" spans="1:12" x14ac:dyDescent="0.25">
      <c r="B40" s="9"/>
    </row>
    <row r="41" spans="1:12" x14ac:dyDescent="0.25">
      <c r="A41" s="4" t="s">
        <v>156</v>
      </c>
      <c r="B41" s="12" t="s">
        <v>157</v>
      </c>
      <c r="C41" s="6" t="s">
        <v>170</v>
      </c>
      <c r="D41" s="6" t="s">
        <v>170</v>
      </c>
      <c r="E41" s="6" t="s">
        <v>155</v>
      </c>
      <c r="F41" s="4" t="s">
        <v>166</v>
      </c>
      <c r="G41" s="4" t="s">
        <v>149</v>
      </c>
      <c r="H41" s="4" t="s">
        <v>158</v>
      </c>
      <c r="I41" s="4" t="s">
        <v>150</v>
      </c>
      <c r="J41" s="4" t="s">
        <v>150</v>
      </c>
      <c r="K41" s="4" t="s">
        <v>151</v>
      </c>
      <c r="L41" s="4" t="s">
        <v>150</v>
      </c>
    </row>
    <row r="42" spans="1:12" x14ac:dyDescent="0.25">
      <c r="A42" s="4" t="s">
        <v>190</v>
      </c>
      <c r="B42" s="12" t="s">
        <v>123</v>
      </c>
      <c r="C42" s="4" t="s">
        <v>123</v>
      </c>
      <c r="D42" s="4" t="s">
        <v>123</v>
      </c>
      <c r="E42" s="6" t="s">
        <v>155</v>
      </c>
      <c r="F42" s="4" t="s">
        <v>166</v>
      </c>
      <c r="G42" s="4" t="s">
        <v>148</v>
      </c>
      <c r="H42" s="4" t="s">
        <v>158</v>
      </c>
      <c r="I42" s="4" t="s">
        <v>150</v>
      </c>
      <c r="J42" s="4" t="s">
        <v>158</v>
      </c>
      <c r="K42" s="4" t="s">
        <v>151</v>
      </c>
      <c r="L42" s="4" t="s">
        <v>158</v>
      </c>
    </row>
    <row r="43" spans="1:12" x14ac:dyDescent="0.25">
      <c r="A43" s="4" t="s">
        <v>191</v>
      </c>
      <c r="B43" s="12" t="s">
        <v>124</v>
      </c>
      <c r="C43" s="4" t="s">
        <v>124</v>
      </c>
      <c r="D43" s="4" t="s">
        <v>124</v>
      </c>
      <c r="E43" s="6" t="s">
        <v>155</v>
      </c>
      <c r="F43" s="4" t="s">
        <v>166</v>
      </c>
      <c r="G43" s="4" t="s">
        <v>148</v>
      </c>
      <c r="H43" s="4" t="s">
        <v>158</v>
      </c>
      <c r="I43" s="4" t="s">
        <v>150</v>
      </c>
      <c r="J43" s="4" t="s">
        <v>158</v>
      </c>
      <c r="K43" s="4" t="s">
        <v>151</v>
      </c>
      <c r="L43" s="4" t="s">
        <v>158</v>
      </c>
    </row>
    <row r="44" spans="1:12" x14ac:dyDescent="0.25">
      <c r="A44" s="4" t="s">
        <v>212</v>
      </c>
      <c r="B44" t="s">
        <v>122</v>
      </c>
      <c r="C44" s="4" t="s">
        <v>122</v>
      </c>
      <c r="D44" s="4" t="s">
        <v>122</v>
      </c>
      <c r="E44" s="4" t="s">
        <v>155</v>
      </c>
      <c r="F44" s="4" t="s">
        <v>166</v>
      </c>
      <c r="G44" s="4" t="s">
        <v>148</v>
      </c>
      <c r="H44" s="4" t="s">
        <v>158</v>
      </c>
      <c r="I44" s="4" t="s">
        <v>151</v>
      </c>
      <c r="J44" s="4" t="s">
        <v>158</v>
      </c>
      <c r="K44" s="4" t="s">
        <v>151</v>
      </c>
      <c r="L44" s="4" t="s">
        <v>158</v>
      </c>
    </row>
    <row r="45" spans="1:12" x14ac:dyDescent="0.25">
      <c r="A45" s="4" t="s">
        <v>215</v>
      </c>
      <c r="B45" s="9" t="s">
        <v>216</v>
      </c>
      <c r="C45" s="4" t="s">
        <v>216</v>
      </c>
      <c r="D45" s="4" t="s">
        <v>216</v>
      </c>
      <c r="E45" s="4" t="s">
        <v>155</v>
      </c>
      <c r="F45" s="4" t="s">
        <v>162</v>
      </c>
      <c r="G45" s="4" t="s">
        <v>149</v>
      </c>
      <c r="H45" s="4" t="s">
        <v>158</v>
      </c>
      <c r="I45" s="4" t="s">
        <v>151</v>
      </c>
      <c r="J45" s="4" t="s">
        <v>150</v>
      </c>
      <c r="K45" s="4" t="s">
        <v>151</v>
      </c>
      <c r="L45" s="4" t="s">
        <v>151</v>
      </c>
    </row>
    <row r="46" spans="1:12" x14ac:dyDescent="0.25">
      <c r="A46" s="4" t="s">
        <v>243</v>
      </c>
      <c r="B46" s="12" t="s">
        <v>244</v>
      </c>
      <c r="C46" s="4" t="s">
        <v>245</v>
      </c>
      <c r="D46" s="4" t="s">
        <v>245</v>
      </c>
      <c r="E46" s="4" t="s">
        <v>155</v>
      </c>
      <c r="F46" s="4" t="s">
        <v>166</v>
      </c>
      <c r="G46" s="4" t="s">
        <v>148</v>
      </c>
      <c r="H46" s="4" t="s">
        <v>158</v>
      </c>
      <c r="I46" s="4" t="s">
        <v>150</v>
      </c>
      <c r="J46" s="4" t="s">
        <v>158</v>
      </c>
      <c r="K46" s="4" t="s">
        <v>150</v>
      </c>
      <c r="L46" s="4" t="s">
        <v>158</v>
      </c>
    </row>
    <row r="47" spans="1:12" x14ac:dyDescent="0.25">
      <c r="A47" s="4" t="s">
        <v>255</v>
      </c>
      <c r="B47" s="12" t="s">
        <v>259</v>
      </c>
      <c r="C47" s="4" t="s">
        <v>260</v>
      </c>
      <c r="E47" s="4" t="s">
        <v>155</v>
      </c>
      <c r="F47" s="4" t="s">
        <v>166</v>
      </c>
      <c r="G47" s="4" t="s">
        <v>148</v>
      </c>
      <c r="H47" s="4" t="s">
        <v>158</v>
      </c>
      <c r="I47" s="4" t="s">
        <v>150</v>
      </c>
      <c r="J47" s="4" t="s">
        <v>158</v>
      </c>
      <c r="K47" s="4" t="s">
        <v>151</v>
      </c>
      <c r="L47" s="4" t="s">
        <v>158</v>
      </c>
    </row>
    <row r="48" spans="1:12" x14ac:dyDescent="0.25">
      <c r="A48" s="4" t="s">
        <v>258</v>
      </c>
      <c r="B48" s="12" t="s">
        <v>256</v>
      </c>
      <c r="C48" s="4" t="s">
        <v>257</v>
      </c>
      <c r="E48" s="4" t="s">
        <v>163</v>
      </c>
      <c r="F48" s="4" t="s">
        <v>166</v>
      </c>
      <c r="G48" s="4" t="s">
        <v>148</v>
      </c>
      <c r="H48" s="4" t="s">
        <v>158</v>
      </c>
      <c r="I48" s="4" t="s">
        <v>151</v>
      </c>
      <c r="J48" s="4" t="s">
        <v>158</v>
      </c>
      <c r="K48" s="4" t="s">
        <v>151</v>
      </c>
      <c r="L48" s="4" t="s">
        <v>158</v>
      </c>
    </row>
  </sheetData>
  <phoneticPr fontId="4" type="noConversion"/>
  <conditionalFormatting sqref="J6:L8 J1:K4 L2:L4 J42:L44 L45 L28:L37 J15:K45 L15:L25 J10:L10 J49:K1048576 J38:L39">
    <cfRule type="containsText" dxfId="58" priority="62" operator="containsText" text="TRUE">
      <formula>NOT(ISERROR(SEARCH("TRUE",J1)))</formula>
    </cfRule>
  </conditionalFormatting>
  <conditionalFormatting sqref="L41 H6:L7 H1:K2 L2:L4 H42:L44 L45 L28:L37 H15:K45 L15:L25 H10:L10 H8 J8:L8 H4:K4 H3 J3:K3 H49:K1048576 H38:L39">
    <cfRule type="containsText" dxfId="57" priority="60" operator="containsText" text="FALSE">
      <formula>NOT(ISERROR(SEARCH("FALSE",H1)))</formula>
    </cfRule>
    <cfRule type="containsText" dxfId="56" priority="61" operator="containsText" text="TRUE">
      <formula>NOT(ISERROR(SEARCH("TRUE",H1)))</formula>
    </cfRule>
  </conditionalFormatting>
  <conditionalFormatting sqref="H1:L2 H6:L7 H12:L12 K11:L11 H10:L10 H8 J8:L8 H4:L4 H3 J3:L3 H49:L1048576 H15:L45">
    <cfRule type="containsText" dxfId="55" priority="56" operator="containsText" text="N/A">
      <formula>NOT(ISERROR(SEARCH("N/A",H1)))</formula>
    </cfRule>
  </conditionalFormatting>
  <conditionalFormatting sqref="F1:F4 F6:F8 F15:F45 F10 F49:F1048576">
    <cfRule type="cellIs" dxfId="54" priority="55" operator="equal">
      <formula>"Business"</formula>
    </cfRule>
  </conditionalFormatting>
  <conditionalFormatting sqref="J12:L12 K11:L11">
    <cfRule type="containsText" dxfId="53" priority="54" operator="containsText" text="TRUE">
      <formula>NOT(ISERROR(SEARCH("TRUE",J11)))</formula>
    </cfRule>
  </conditionalFormatting>
  <conditionalFormatting sqref="H12:L12 K11:L11">
    <cfRule type="containsText" dxfId="52" priority="52" operator="containsText" text="FALSE">
      <formula>NOT(ISERROR(SEARCH("FALSE",H11)))</formula>
    </cfRule>
    <cfRule type="containsText" dxfId="51" priority="53" operator="containsText" text="TRUE">
      <formula>NOT(ISERROR(SEARCH("TRUE",H11)))</formula>
    </cfRule>
  </conditionalFormatting>
  <conditionalFormatting sqref="F12">
    <cfRule type="cellIs" dxfId="50" priority="51" operator="equal">
      <formula>"Business"</formula>
    </cfRule>
  </conditionalFormatting>
  <conditionalFormatting sqref="H11:J11">
    <cfRule type="containsText" dxfId="49" priority="50" operator="containsText" text="N/A">
      <formula>NOT(ISERROR(SEARCH("N/A",H11)))</formula>
    </cfRule>
  </conditionalFormatting>
  <conditionalFormatting sqref="J11">
    <cfRule type="containsText" dxfId="48" priority="49" operator="containsText" text="TRUE">
      <formula>NOT(ISERROR(SEARCH("TRUE",J11)))</formula>
    </cfRule>
  </conditionalFormatting>
  <conditionalFormatting sqref="H11:J11">
    <cfRule type="containsText" dxfId="47" priority="47" operator="containsText" text="FALSE">
      <formula>NOT(ISERROR(SEARCH("FALSE",H11)))</formula>
    </cfRule>
    <cfRule type="containsText" dxfId="46" priority="48" operator="containsText" text="TRUE">
      <formula>NOT(ISERROR(SEARCH("TRUE",H11)))</formula>
    </cfRule>
  </conditionalFormatting>
  <conditionalFormatting sqref="F11">
    <cfRule type="cellIs" dxfId="45" priority="46" operator="equal">
      <formula>"Business"</formula>
    </cfRule>
  </conditionalFormatting>
  <conditionalFormatting sqref="H13:L14">
    <cfRule type="containsText" dxfId="44" priority="45" operator="containsText" text="N/A">
      <formula>NOT(ISERROR(SEARCH("N/A",H13)))</formula>
    </cfRule>
  </conditionalFormatting>
  <conditionalFormatting sqref="J13:L14">
    <cfRule type="containsText" dxfId="43" priority="44" operator="containsText" text="TRUE">
      <formula>NOT(ISERROR(SEARCH("TRUE",J13)))</formula>
    </cfRule>
  </conditionalFormatting>
  <conditionalFormatting sqref="H13:L14">
    <cfRule type="containsText" dxfId="42" priority="42" operator="containsText" text="FALSE">
      <formula>NOT(ISERROR(SEARCH("FALSE",H13)))</formula>
    </cfRule>
    <cfRule type="containsText" dxfId="41" priority="43" operator="containsText" text="TRUE">
      <formula>NOT(ISERROR(SEARCH("TRUE",H13)))</formula>
    </cfRule>
  </conditionalFormatting>
  <conditionalFormatting sqref="F13:F14">
    <cfRule type="cellIs" dxfId="40" priority="41" operator="equal">
      <formula>"Business"</formula>
    </cfRule>
  </conditionalFormatting>
  <conditionalFormatting sqref="J5:L5">
    <cfRule type="containsText" dxfId="39" priority="40" operator="containsText" text="TRUE">
      <formula>NOT(ISERROR(SEARCH("TRUE",J5)))</formula>
    </cfRule>
  </conditionalFormatting>
  <conditionalFormatting sqref="H5:L5">
    <cfRule type="containsText" dxfId="38" priority="38" operator="containsText" text="FALSE">
      <formula>NOT(ISERROR(SEARCH("FALSE",H5)))</formula>
    </cfRule>
    <cfRule type="containsText" dxfId="37" priority="39" operator="containsText" text="TRUE">
      <formula>NOT(ISERROR(SEARCH("TRUE",H5)))</formula>
    </cfRule>
  </conditionalFormatting>
  <conditionalFormatting sqref="H5:L5">
    <cfRule type="containsText" dxfId="36" priority="37" operator="containsText" text="N/A">
      <formula>NOT(ISERROR(SEARCH("N/A",H5)))</formula>
    </cfRule>
  </conditionalFormatting>
  <conditionalFormatting sqref="F5">
    <cfRule type="cellIs" dxfId="35" priority="36" operator="equal">
      <formula>"Business"</formula>
    </cfRule>
  </conditionalFormatting>
  <conditionalFormatting sqref="J9:L9">
    <cfRule type="containsText" dxfId="34" priority="35" operator="containsText" text="TRUE">
      <formula>NOT(ISERROR(SEARCH("TRUE",J9)))</formula>
    </cfRule>
  </conditionalFormatting>
  <conditionalFormatting sqref="H9:L9">
    <cfRule type="containsText" dxfId="33" priority="33" operator="containsText" text="FALSE">
      <formula>NOT(ISERROR(SEARCH("FALSE",H9)))</formula>
    </cfRule>
    <cfRule type="containsText" dxfId="32" priority="34" operator="containsText" text="TRUE">
      <formula>NOT(ISERROR(SEARCH("TRUE",H9)))</formula>
    </cfRule>
  </conditionalFormatting>
  <conditionalFormatting sqref="H9:L9">
    <cfRule type="containsText" dxfId="31" priority="32" operator="containsText" text="N/A">
      <formula>NOT(ISERROR(SEARCH("N/A",H9)))</formula>
    </cfRule>
  </conditionalFormatting>
  <conditionalFormatting sqref="F9">
    <cfRule type="cellIs" dxfId="30" priority="31" operator="equal">
      <formula>"Business"</formula>
    </cfRule>
  </conditionalFormatting>
  <conditionalFormatting sqref="I8">
    <cfRule type="containsText" dxfId="29" priority="29" operator="containsText" text="FALSE">
      <formula>NOT(ISERROR(SEARCH("FALSE",I8)))</formula>
    </cfRule>
    <cfRule type="containsText" dxfId="28" priority="30" operator="containsText" text="TRUE">
      <formula>NOT(ISERROR(SEARCH("TRUE",I8)))</formula>
    </cfRule>
  </conditionalFormatting>
  <conditionalFormatting sqref="I8">
    <cfRule type="containsText" dxfId="27" priority="28" operator="containsText" text="N/A">
      <formula>NOT(ISERROR(SEARCH("N/A",I8)))</formula>
    </cfRule>
  </conditionalFormatting>
  <conditionalFormatting sqref="I3">
    <cfRule type="containsText" dxfId="26" priority="26" operator="containsText" text="FALSE">
      <formula>NOT(ISERROR(SEARCH("FALSE",I3)))</formula>
    </cfRule>
    <cfRule type="containsText" dxfId="25" priority="27" operator="containsText" text="TRUE">
      <formula>NOT(ISERROR(SEARCH("TRUE",I3)))</formula>
    </cfRule>
  </conditionalFormatting>
  <conditionalFormatting sqref="I3">
    <cfRule type="containsText" dxfId="24" priority="25" operator="containsText" text="N/A">
      <formula>NOT(ISERROR(SEARCH("N/A",I3)))</formula>
    </cfRule>
  </conditionalFormatting>
  <conditionalFormatting sqref="J46:L46">
    <cfRule type="containsText" dxfId="23" priority="24" operator="containsText" text="TRUE">
      <formula>NOT(ISERROR(SEARCH("TRUE",J46)))</formula>
    </cfRule>
  </conditionalFormatting>
  <conditionalFormatting sqref="H46 J46:L46">
    <cfRule type="containsText" dxfId="22" priority="22" operator="containsText" text="FALSE">
      <formula>NOT(ISERROR(SEARCH("FALSE",H46)))</formula>
    </cfRule>
    <cfRule type="containsText" dxfId="21" priority="23" operator="containsText" text="TRUE">
      <formula>NOT(ISERROR(SEARCH("TRUE",H46)))</formula>
    </cfRule>
  </conditionalFormatting>
  <conditionalFormatting sqref="H46 J46:L46">
    <cfRule type="containsText" dxfId="20" priority="21" operator="containsText" text="N/A">
      <formula>NOT(ISERROR(SEARCH("N/A",H46)))</formula>
    </cfRule>
  </conditionalFormatting>
  <conditionalFormatting sqref="F46">
    <cfRule type="cellIs" dxfId="19" priority="20" operator="equal">
      <formula>"Business"</formula>
    </cfRule>
  </conditionalFormatting>
  <conditionalFormatting sqref="I46">
    <cfRule type="containsText" dxfId="18" priority="18" operator="containsText" text="FALSE">
      <formula>NOT(ISERROR(SEARCH("FALSE",I46)))</formula>
    </cfRule>
    <cfRule type="containsText" dxfId="17" priority="19" operator="containsText" text="TRUE">
      <formula>NOT(ISERROR(SEARCH("TRUE",I46)))</formula>
    </cfRule>
  </conditionalFormatting>
  <conditionalFormatting sqref="I46">
    <cfRule type="containsText" dxfId="16" priority="17" operator="containsText" text="N/A">
      <formula>NOT(ISERROR(SEARCH("N/A",I46)))</formula>
    </cfRule>
  </conditionalFormatting>
  <conditionalFormatting sqref="J47:L47">
    <cfRule type="containsText" dxfId="15" priority="16" operator="containsText" text="TRUE">
      <formula>NOT(ISERROR(SEARCH("TRUE",J47)))</formula>
    </cfRule>
  </conditionalFormatting>
  <conditionalFormatting sqref="H47 J47:L47">
    <cfRule type="containsText" dxfId="14" priority="14" operator="containsText" text="FALSE">
      <formula>NOT(ISERROR(SEARCH("FALSE",H47)))</formula>
    </cfRule>
    <cfRule type="containsText" dxfId="13" priority="15" operator="containsText" text="TRUE">
      <formula>NOT(ISERROR(SEARCH("TRUE",H47)))</formula>
    </cfRule>
  </conditionalFormatting>
  <conditionalFormatting sqref="H47 J47:L47">
    <cfRule type="containsText" dxfId="12" priority="13" operator="containsText" text="N/A">
      <formula>NOT(ISERROR(SEARCH("N/A",H47)))</formula>
    </cfRule>
  </conditionalFormatting>
  <conditionalFormatting sqref="F47">
    <cfRule type="cellIs" dxfId="11" priority="12" operator="equal">
      <formula>"Business"</formula>
    </cfRule>
  </conditionalFormatting>
  <conditionalFormatting sqref="I47">
    <cfRule type="containsText" dxfId="10" priority="10" operator="containsText" text="FALSE">
      <formula>NOT(ISERROR(SEARCH("FALSE",I47)))</formula>
    </cfRule>
    <cfRule type="containsText" dxfId="9" priority="11" operator="containsText" text="TRUE">
      <formula>NOT(ISERROR(SEARCH("TRUE",I47)))</formula>
    </cfRule>
  </conditionalFormatting>
  <conditionalFormatting sqref="I47">
    <cfRule type="containsText" dxfId="8" priority="9" operator="containsText" text="N/A">
      <formula>NOT(ISERROR(SEARCH("N/A",I47)))</formula>
    </cfRule>
  </conditionalFormatting>
  <conditionalFormatting sqref="J48:L48">
    <cfRule type="containsText" dxfId="7" priority="8" operator="containsText" text="TRUE">
      <formula>NOT(ISERROR(SEARCH("TRUE",J48)))</formula>
    </cfRule>
  </conditionalFormatting>
  <conditionalFormatting sqref="H48 J48:L48">
    <cfRule type="containsText" dxfId="6" priority="6" operator="containsText" text="FALSE">
      <formula>NOT(ISERROR(SEARCH("FALSE",H48)))</formula>
    </cfRule>
    <cfRule type="containsText" dxfId="5" priority="7" operator="containsText" text="TRUE">
      <formula>NOT(ISERROR(SEARCH("TRUE",H48)))</formula>
    </cfRule>
  </conditionalFormatting>
  <conditionalFormatting sqref="H48 J48:L48">
    <cfRule type="containsText" dxfId="4" priority="5" operator="containsText" text="N/A">
      <formula>NOT(ISERROR(SEARCH("N/A",H48)))</formula>
    </cfRule>
  </conditionalFormatting>
  <conditionalFormatting sqref="F48">
    <cfRule type="cellIs" dxfId="3" priority="4" operator="equal">
      <formula>"Business"</formula>
    </cfRule>
  </conditionalFormatting>
  <conditionalFormatting sqref="I48">
    <cfRule type="containsText" dxfId="2" priority="2" operator="containsText" text="FALSE">
      <formula>NOT(ISERROR(SEARCH("FALSE",I48)))</formula>
    </cfRule>
    <cfRule type="containsText" dxfId="1" priority="3" operator="containsText" text="TRUE">
      <formula>NOT(ISERROR(SEARCH("TRUE",I48)))</formula>
    </cfRule>
  </conditionalFormatting>
  <conditionalFormatting sqref="I48">
    <cfRule type="containsText" dxfId="0" priority="1" operator="containsText" text="N/A">
      <formula>NOT(ISERROR(SEARCH("N/A",I48)))</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51A2-2C43-49A3-B6DF-2EF308D98647}">
  <dimension ref="A2:E5"/>
  <sheetViews>
    <sheetView workbookViewId="0">
      <selection activeCell="J22" sqref="J22"/>
    </sheetView>
  </sheetViews>
  <sheetFormatPr defaultRowHeight="15" x14ac:dyDescent="0.25"/>
  <sheetData>
    <row r="2" spans="1:5" x14ac:dyDescent="0.25">
      <c r="A2" t="s">
        <v>66</v>
      </c>
      <c r="C2" t="b">
        <v>1</v>
      </c>
      <c r="D2" t="b">
        <v>0</v>
      </c>
      <c r="E2" t="s">
        <v>67</v>
      </c>
    </row>
    <row r="5" spans="1:5" x14ac:dyDescent="0.25">
      <c r="A5" t="s">
        <v>74</v>
      </c>
      <c r="B5" t="s">
        <v>75</v>
      </c>
      <c r="C5" t="b">
        <v>1</v>
      </c>
      <c r="D5" t="b">
        <v>1</v>
      </c>
      <c r="E5"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Constants</vt:lpstr>
      <vt:lpstr>CompaniesLoginData</vt:lpstr>
      <vt:lpstr>Sheet1</vt:lpstr>
      <vt:lpstr>ErrorList</vt:lpstr>
      <vt:lpstr>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Szwed, Krzysztof (Oerlikon Poland)</dc:creator>
  <cp:lastModifiedBy>Warsaw, Test.Bot (Oerlikon Poland)</cp:lastModifiedBy>
  <dcterms:created xsi:type="dcterms:W3CDTF">2015-06-05T18:19:34Z</dcterms:created>
  <dcterms:modified xsi:type="dcterms:W3CDTF">2020-04-30T11:27:47Z</dcterms:modified>
</cp:coreProperties>
</file>